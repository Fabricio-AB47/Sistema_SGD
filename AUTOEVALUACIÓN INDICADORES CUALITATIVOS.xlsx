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abri\Documents\INTEC PROYECTOS\SISTEMA SIG\Sistema_SGD\"/>
    </mc:Choice>
  </mc:AlternateContent>
  <xr:revisionPtr revIDLastSave="0" documentId="8_{518130C0-BDF1-4F62-B525-4781B5BCCAF1}" xr6:coauthVersionLast="47" xr6:coauthVersionMax="47" xr10:uidLastSave="{00000000-0000-0000-0000-000000000000}"/>
  <bookViews>
    <workbookView xWindow="-120" yWindow="-120" windowWidth="29040" windowHeight="16440" xr2:uid="{AD7D4CE1-F088-4C20-9529-74932A284E77}"/>
  </bookViews>
  <sheets>
    <sheet name="INDICADORES CUALITATIVOS" sheetId="4" r:id="rId1"/>
    <sheet name="Sheet1" sheetId="5" r:id="rId2"/>
    <sheet name="DATOS BÁSICOS" sheetId="2" state="hidden" r:id="rId3"/>
    <sheet name="PESOS" sheetId="1" state="hidden" r:id="rId4"/>
  </sheets>
  <definedNames>
    <definedName name="_xlnm._FilterDatabase" localSheetId="0" hidden="1">'INDICADORES CUALITATIVOS'!$A$8:$F$24</definedName>
    <definedName name="_xlnm._FilterDatabase" localSheetId="3" hidden="1">PESOS!$A$1:$L$45</definedName>
    <definedName name="ELEFUND_tipo">ESTADO_EF5[TIPO ELEMENTO FUNDAMENTAL]</definedName>
    <definedName name="ESTADOEF">ESTADO_EF[ESTADO DE ELEMENTO FUNDAMENTAL]</definedName>
    <definedName name="IndicadoresCodigo">PESOS!$BD$3:$BD$45</definedName>
    <definedName name="Tipo_Pesos">PESOS_TIPOS[TIPO PESOS]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4" l="1" a="1"/>
  <c r="R7" i="4" s="1"/>
  <c r="S7" i="4" a="1"/>
  <c r="S7" i="4" s="1"/>
  <c r="R10" i="4"/>
  <c r="S10" i="4"/>
  <c r="R11" i="4"/>
  <c r="S11" i="4"/>
  <c r="R12" i="4"/>
  <c r="S12" i="4"/>
  <c r="R13" i="4"/>
  <c r="S13" i="4"/>
  <c r="Q14" i="4"/>
  <c r="R29" i="4"/>
  <c r="S29" i="4"/>
  <c r="R30" i="4"/>
  <c r="S30" i="4"/>
  <c r="R31" i="4"/>
  <c r="S31" i="4"/>
  <c r="R32" i="4"/>
  <c r="S32" i="4"/>
  <c r="Q33" i="4"/>
  <c r="R45" i="4"/>
  <c r="S45" i="4"/>
  <c r="R46" i="4"/>
  <c r="S46" i="4"/>
  <c r="R47" i="4"/>
  <c r="S47" i="4"/>
  <c r="R48" i="4"/>
  <c r="S48" i="4"/>
  <c r="Q49" i="4"/>
  <c r="R59" i="4"/>
  <c r="S59" i="4"/>
  <c r="R60" i="4"/>
  <c r="S60" i="4"/>
  <c r="R61" i="4"/>
  <c r="S61" i="4"/>
  <c r="R62" i="4"/>
  <c r="S62" i="4"/>
  <c r="Q63" i="4"/>
  <c r="R75" i="4"/>
  <c r="S75" i="4"/>
  <c r="R76" i="4"/>
  <c r="S76" i="4"/>
  <c r="R77" i="4"/>
  <c r="S77" i="4"/>
  <c r="R78" i="4"/>
  <c r="S78" i="4"/>
  <c r="Q79" i="4"/>
  <c r="R87" i="4"/>
  <c r="S87" i="4"/>
  <c r="R88" i="4"/>
  <c r="S88" i="4"/>
  <c r="R89" i="4"/>
  <c r="S89" i="4"/>
  <c r="R90" i="4"/>
  <c r="S90" i="4"/>
  <c r="Q91" i="4"/>
  <c r="R107" i="4"/>
  <c r="S107" i="4"/>
  <c r="R108" i="4"/>
  <c r="S108" i="4"/>
  <c r="R109" i="4"/>
  <c r="S109" i="4"/>
  <c r="R110" i="4"/>
  <c r="S110" i="4"/>
  <c r="Q111" i="4"/>
  <c r="R121" i="4"/>
  <c r="S121" i="4"/>
  <c r="R122" i="4"/>
  <c r="S122" i="4"/>
  <c r="R123" i="4"/>
  <c r="S123" i="4"/>
  <c r="R124" i="4"/>
  <c r="S124" i="4"/>
  <c r="Q125" i="4"/>
  <c r="R137" i="4"/>
  <c r="S137" i="4"/>
  <c r="R138" i="4"/>
  <c r="S138" i="4"/>
  <c r="R139" i="4"/>
  <c r="S139" i="4"/>
  <c r="R140" i="4"/>
  <c r="S140" i="4"/>
  <c r="Q141" i="4"/>
  <c r="R151" i="4"/>
  <c r="S151" i="4"/>
  <c r="R152" i="4"/>
  <c r="S152" i="4"/>
  <c r="R153" i="4"/>
  <c r="S153" i="4"/>
  <c r="R154" i="4"/>
  <c r="S154" i="4"/>
  <c r="Q155" i="4"/>
  <c r="R169" i="4"/>
  <c r="S169" i="4"/>
  <c r="R170" i="4"/>
  <c r="S170" i="4"/>
  <c r="R171" i="4"/>
  <c r="S171" i="4"/>
  <c r="R172" i="4"/>
  <c r="S172" i="4"/>
  <c r="Q173" i="4"/>
  <c r="R186" i="4"/>
  <c r="S186" i="4"/>
  <c r="R187" i="4"/>
  <c r="S187" i="4"/>
  <c r="R188" i="4"/>
  <c r="S188" i="4"/>
  <c r="R189" i="4"/>
  <c r="S189" i="4"/>
  <c r="Q190" i="4"/>
  <c r="R206" i="4"/>
  <c r="S206" i="4"/>
  <c r="R207" i="4"/>
  <c r="S207" i="4"/>
  <c r="R208" i="4"/>
  <c r="S208" i="4"/>
  <c r="R209" i="4"/>
  <c r="S209" i="4"/>
  <c r="Q210" i="4"/>
  <c r="R224" i="4"/>
  <c r="S224" i="4"/>
  <c r="R225" i="4"/>
  <c r="S225" i="4"/>
  <c r="R226" i="4"/>
  <c r="S226" i="4"/>
  <c r="R227" i="4"/>
  <c r="S227" i="4"/>
  <c r="Q228" i="4"/>
  <c r="I2" i="1" a="1"/>
  <c r="I2" i="1" s="1"/>
  <c r="K2" i="1" a="1"/>
  <c r="K2" i="1" s="1"/>
  <c r="V2" i="1"/>
  <c r="I3" i="1" a="1"/>
  <c r="I3" i="1" s="1"/>
  <c r="K3" i="1" a="1"/>
  <c r="K3" i="1" s="1"/>
  <c r="I4" i="1" a="1"/>
  <c r="I4" i="1" s="1"/>
  <c r="K4" i="1" a="1"/>
  <c r="K4" i="1" s="1"/>
  <c r="I5" i="1" a="1"/>
  <c r="I5" i="1"/>
  <c r="K5" i="1" a="1"/>
  <c r="K5" i="1" s="1"/>
  <c r="L5" i="1" s="1"/>
  <c r="I6" i="1" a="1"/>
  <c r="I6" i="1"/>
  <c r="K6" i="1" a="1"/>
  <c r="K6" i="1" s="1"/>
  <c r="I7" i="1" a="1"/>
  <c r="I7" i="1" s="1"/>
  <c r="L7" i="1" s="1"/>
  <c r="K7" i="1" a="1"/>
  <c r="K7" i="1"/>
  <c r="I8" i="1" a="1"/>
  <c r="I8" i="1" s="1"/>
  <c r="K8" i="1" a="1"/>
  <c r="K8" i="1" s="1"/>
  <c r="I9" i="1" a="1"/>
  <c r="I9" i="1"/>
  <c r="K9" i="1" a="1"/>
  <c r="K9" i="1" s="1"/>
  <c r="I10" i="1" a="1"/>
  <c r="I10" i="1" s="1"/>
  <c r="K10" i="1" a="1"/>
  <c r="K10" i="1" s="1"/>
  <c r="I11" i="1" a="1"/>
  <c r="I11" i="1" s="1"/>
  <c r="K11" i="1" a="1"/>
  <c r="K11" i="1" s="1"/>
  <c r="I12" i="1" a="1"/>
  <c r="I12" i="1" s="1"/>
  <c r="I13" i="1" a="1"/>
  <c r="I13" i="1"/>
  <c r="K13" i="1" a="1"/>
  <c r="K13" i="1" s="1"/>
  <c r="I14" i="1" a="1"/>
  <c r="I14" i="1" s="1"/>
  <c r="I15" i="1" a="1"/>
  <c r="I15" i="1"/>
  <c r="I16" i="1" a="1"/>
  <c r="I16" i="1"/>
  <c r="K16" i="1" a="1"/>
  <c r="K16" i="1" s="1"/>
  <c r="I17" i="1" a="1"/>
  <c r="I17" i="1" s="1"/>
  <c r="I18" i="1" a="1"/>
  <c r="I18" i="1"/>
  <c r="I19" i="1" a="1"/>
  <c r="I19" i="1"/>
  <c r="K19" i="1" a="1"/>
  <c r="K19" i="1" s="1"/>
  <c r="I20" i="1" a="1"/>
  <c r="I20" i="1" s="1"/>
  <c r="L20" i="1" s="1"/>
  <c r="K20" i="1" a="1"/>
  <c r="K20" i="1"/>
  <c r="I21" i="1" a="1"/>
  <c r="I21" i="1" s="1"/>
  <c r="I22" i="1" a="1"/>
  <c r="I22" i="1" s="1"/>
  <c r="L22" i="1" s="1"/>
  <c r="I23" i="1" a="1"/>
  <c r="I23" i="1" s="1"/>
  <c r="K23" i="1" a="1"/>
  <c r="K23" i="1" s="1"/>
  <c r="I24" i="1" a="1"/>
  <c r="I24" i="1" s="1"/>
  <c r="K24" i="1" a="1"/>
  <c r="K24" i="1" s="1"/>
  <c r="I25" i="1" a="1"/>
  <c r="I25" i="1" s="1"/>
  <c r="K25" i="1" a="1"/>
  <c r="K25" i="1" s="1"/>
  <c r="I26" i="1" a="1"/>
  <c r="I26" i="1" s="1"/>
  <c r="K26" i="1" a="1"/>
  <c r="K26" i="1" s="1"/>
  <c r="I27" i="1" a="1"/>
  <c r="I27" i="1"/>
  <c r="I28" i="1" a="1"/>
  <c r="I28" i="1" s="1"/>
  <c r="K28" i="1" a="1"/>
  <c r="K28" i="1" s="1"/>
  <c r="V28" i="1"/>
  <c r="W28" i="1"/>
  <c r="X28" i="1"/>
  <c r="Y28" i="1"/>
  <c r="Z28" i="1"/>
  <c r="AA28" i="1"/>
  <c r="AB28" i="1"/>
  <c r="AC28" i="1"/>
  <c r="AK28" i="1"/>
  <c r="I29" i="1" a="1"/>
  <c r="I29" i="1" s="1"/>
  <c r="L29" i="1" s="1"/>
  <c r="K29" i="1" a="1"/>
  <c r="K29" i="1" s="1"/>
  <c r="V29" i="1"/>
  <c r="W29" i="1"/>
  <c r="X29" i="1"/>
  <c r="Y29" i="1"/>
  <c r="K18" i="1" s="1" a="1"/>
  <c r="K18" i="1" s="1"/>
  <c r="Z29" i="1"/>
  <c r="AA29" i="1"/>
  <c r="AB29" i="1"/>
  <c r="AC29" i="1"/>
  <c r="AK29" i="1"/>
  <c r="I30" i="1" a="1"/>
  <c r="I30" i="1" s="1"/>
  <c r="L30" i="1" s="1"/>
  <c r="K30" i="1" a="1"/>
  <c r="K30" i="1"/>
  <c r="V30" i="1"/>
  <c r="W30" i="1"/>
  <c r="K14" i="1" s="1" a="1"/>
  <c r="K14" i="1" s="1"/>
  <c r="X30" i="1"/>
  <c r="K17" i="1" s="1" a="1"/>
  <c r="K17" i="1" s="1"/>
  <c r="Y30" i="1"/>
  <c r="Z30" i="1"/>
  <c r="AA30" i="1"/>
  <c r="K22" i="1" s="1" a="1"/>
  <c r="K22" i="1" s="1"/>
  <c r="AB30" i="1"/>
  <c r="K27" i="1" s="1" a="1"/>
  <c r="K27" i="1" s="1"/>
  <c r="L27" i="1" s="1"/>
  <c r="AC30" i="1"/>
  <c r="K41" i="1" s="1" a="1"/>
  <c r="K41" i="1" s="1"/>
  <c r="AK30" i="1"/>
  <c r="I31" i="1" a="1"/>
  <c r="I31" i="1" s="1"/>
  <c r="L31" i="1" s="1"/>
  <c r="K31" i="1" a="1"/>
  <c r="K31" i="1" s="1"/>
  <c r="V31" i="1"/>
  <c r="W31" i="1"/>
  <c r="X31" i="1"/>
  <c r="Y31" i="1"/>
  <c r="Z31" i="1"/>
  <c r="AA31" i="1"/>
  <c r="AB31" i="1"/>
  <c r="AC31" i="1"/>
  <c r="I32" i="1" a="1"/>
  <c r="I32" i="1"/>
  <c r="K32" i="1" a="1"/>
  <c r="K32" i="1" s="1"/>
  <c r="I33" i="1" a="1"/>
  <c r="I33" i="1"/>
  <c r="K33" i="1" a="1"/>
  <c r="K33" i="1" s="1"/>
  <c r="I34" i="1" a="1"/>
  <c r="I34" i="1" s="1"/>
  <c r="L34" i="1" s="1"/>
  <c r="K34" i="1" a="1"/>
  <c r="K34" i="1"/>
  <c r="I35" i="1" a="1"/>
  <c r="I35" i="1" s="1"/>
  <c r="L35" i="1" s="1"/>
  <c r="K35" i="1" a="1"/>
  <c r="K35" i="1"/>
  <c r="I36" i="1" a="1"/>
  <c r="I36" i="1"/>
  <c r="L36" i="1" s="1"/>
  <c r="K36" i="1" a="1"/>
  <c r="K36" i="1" s="1"/>
  <c r="I37" i="1" a="1"/>
  <c r="I37" i="1" s="1"/>
  <c r="K37" i="1" a="1"/>
  <c r="K37" i="1" s="1"/>
  <c r="I38" i="1" a="1"/>
  <c r="I38" i="1" s="1"/>
  <c r="K38" i="1" a="1"/>
  <c r="K38" i="1" s="1"/>
  <c r="I39" i="1" a="1"/>
  <c r="I39" i="1" s="1"/>
  <c r="K39" i="1" a="1"/>
  <c r="K39" i="1" s="1"/>
  <c r="I40" i="1" a="1"/>
  <c r="I40" i="1" s="1"/>
  <c r="K40" i="1" a="1"/>
  <c r="K40" i="1" s="1"/>
  <c r="I41" i="1" a="1"/>
  <c r="I41" i="1" s="1"/>
  <c r="I42" i="1" a="1"/>
  <c r="I42" i="1" s="1"/>
  <c r="K42" i="1" a="1"/>
  <c r="K42" i="1" s="1"/>
  <c r="I43" i="1" a="1"/>
  <c r="I43" i="1" s="1"/>
  <c r="K43" i="1" a="1"/>
  <c r="K43" i="1" s="1"/>
  <c r="I44" i="1" a="1"/>
  <c r="I44" i="1"/>
  <c r="K44" i="1" a="1"/>
  <c r="K44" i="1" s="1"/>
  <c r="L44" i="1" s="1"/>
  <c r="K15" i="1" l="1" a="1"/>
  <c r="K15" i="1" s="1"/>
  <c r="L15" i="1" s="1"/>
  <c r="L38" i="1"/>
  <c r="L37" i="1"/>
  <c r="L13" i="1"/>
  <c r="L9" i="1"/>
  <c r="L4" i="1"/>
  <c r="W5" i="1"/>
  <c r="L6" i="1"/>
  <c r="K21" i="1" a="1"/>
  <c r="K21" i="1" s="1"/>
  <c r="L21" i="1" s="1"/>
  <c r="L33" i="1"/>
  <c r="K12" i="1" a="1"/>
  <c r="K12" i="1" s="1"/>
  <c r="L32" i="1"/>
  <c r="L11" i="1"/>
  <c r="C21" i="4" a="1"/>
  <c r="C21" i="4" s="1"/>
  <c r="C22" i="4" s="1"/>
  <c r="C129" i="4" a="1"/>
  <c r="C129" i="4" s="1"/>
  <c r="C130" i="4" s="1"/>
  <c r="C111" i="4" a="1"/>
  <c r="C111" i="4" s="1"/>
  <c r="C112" i="4" s="1"/>
  <c r="R190" i="4" a="1"/>
  <c r="R190" i="4" s="1"/>
  <c r="R14" i="4" a="1"/>
  <c r="R14" i="4" s="1"/>
  <c r="R155" i="4" a="1"/>
  <c r="R155" i="4" s="1"/>
  <c r="R125" i="4" a="1"/>
  <c r="R125" i="4" s="1"/>
  <c r="C50" i="4" a="1"/>
  <c r="C50" i="4" s="1"/>
  <c r="C51" i="4" s="1"/>
  <c r="R49" i="4" a="1"/>
  <c r="R49" i="4" s="1"/>
  <c r="R228" i="4" a="1"/>
  <c r="R228" i="4" s="1"/>
  <c r="C66" i="4" a="1"/>
  <c r="C66" i="4" s="1"/>
  <c r="C67" i="4" s="1"/>
  <c r="R141" i="4" a="1"/>
  <c r="R141" i="4" s="1"/>
  <c r="C79" i="4" a="1"/>
  <c r="C79" i="4" s="1"/>
  <c r="C80" i="4" s="1"/>
  <c r="R79" i="4" a="1"/>
  <c r="R79" i="4" s="1"/>
  <c r="R210" i="4" a="1"/>
  <c r="R210" i="4" s="1"/>
  <c r="R173" i="4" a="1"/>
  <c r="R173" i="4" s="1"/>
  <c r="C140" i="4" a="1"/>
  <c r="C140" i="4" s="1"/>
  <c r="C141" i="4" s="1"/>
  <c r="C159" i="4" a="1"/>
  <c r="C159" i="4" s="1"/>
  <c r="C160" i="4" s="1"/>
  <c r="C99" i="4" a="1"/>
  <c r="C99" i="4" s="1"/>
  <c r="C100" i="4" s="1"/>
  <c r="R63" i="4" a="1"/>
  <c r="R63" i="4" s="1"/>
  <c r="R111" i="4" a="1"/>
  <c r="R111" i="4" s="1"/>
  <c r="R33" i="4" a="1"/>
  <c r="R33" i="4" s="1"/>
  <c r="R91" i="4" a="1"/>
  <c r="R91" i="4" s="1"/>
  <c r="D51" i="4"/>
  <c r="D100" i="4"/>
  <c r="D216" i="4"/>
  <c r="D22" i="4"/>
  <c r="D67" i="4"/>
  <c r="D112" i="4"/>
  <c r="D160" i="4"/>
  <c r="D227" i="4"/>
  <c r="D194" i="4"/>
  <c r="D37" i="4"/>
  <c r="D80" i="4"/>
  <c r="D130" i="4"/>
  <c r="D177" i="4"/>
  <c r="D141" i="4"/>
  <c r="C215" i="4" a="1"/>
  <c r="C215" i="4" s="1"/>
  <c r="C216" i="4" s="1"/>
  <c r="C226" i="4" a="1"/>
  <c r="C226" i="4" s="1"/>
  <c r="C227" i="4" s="1"/>
  <c r="C193" i="4" a="1"/>
  <c r="C193" i="4" s="1"/>
  <c r="C194" i="4" s="1"/>
  <c r="C176" i="4" a="1"/>
  <c r="C176" i="4" s="1"/>
  <c r="C177" i="4" s="1"/>
  <c r="C36" i="4" a="1"/>
  <c r="C36" i="4" s="1"/>
  <c r="C37" i="4" s="1"/>
  <c r="L23" i="1"/>
  <c r="AH27" i="1"/>
  <c r="W7" i="1"/>
  <c r="L16" i="1"/>
  <c r="L10" i="1"/>
  <c r="AF27" i="1"/>
  <c r="L42" i="1"/>
  <c r="L28" i="1"/>
  <c r="L8" i="1"/>
  <c r="L14" i="1"/>
  <c r="AG27" i="1"/>
  <c r="W6" i="1"/>
  <c r="AJ27" i="1"/>
  <c r="L43" i="1"/>
  <c r="X9" i="1" s="1"/>
  <c r="W9" i="1"/>
  <c r="L41" i="1"/>
  <c r="L40" i="1"/>
  <c r="X8" i="1" s="1"/>
  <c r="AI27" i="1"/>
  <c r="W8" i="1"/>
  <c r="L26" i="1"/>
  <c r="L39" i="1"/>
  <c r="L19" i="1"/>
  <c r="L25" i="1"/>
  <c r="L3" i="1"/>
  <c r="L18" i="1"/>
  <c r="L12" i="1"/>
  <c r="X5" i="1" s="1"/>
  <c r="L24" i="1"/>
  <c r="L17" i="1"/>
  <c r="W4" i="1"/>
  <c r="L2" i="1"/>
  <c r="AE27" i="1"/>
  <c r="I45" i="1"/>
  <c r="X6" i="1" l="1"/>
  <c r="V6" i="1" s="1"/>
  <c r="E22" i="4"/>
  <c r="E216" i="4"/>
  <c r="E130" i="4"/>
  <c r="E80" i="4"/>
  <c r="E67" i="4"/>
  <c r="E51" i="4"/>
  <c r="E37" i="4"/>
  <c r="E112" i="4"/>
  <c r="E160" i="4"/>
  <c r="E194" i="4"/>
  <c r="E141" i="4"/>
  <c r="E100" i="4"/>
  <c r="E177" i="4"/>
  <c r="E227" i="4"/>
  <c r="V5" i="1"/>
  <c r="AE29" i="1"/>
  <c r="AE28" i="1"/>
  <c r="AE30" i="1"/>
  <c r="X4" i="1"/>
  <c r="L45" i="1"/>
  <c r="AI30" i="1"/>
  <c r="AI29" i="1"/>
  <c r="AI28" i="1"/>
  <c r="V8" i="1"/>
  <c r="AF29" i="1"/>
  <c r="AF28" i="1"/>
  <c r="AF30" i="1"/>
  <c r="W10" i="1"/>
  <c r="V9" i="1"/>
  <c r="AJ30" i="1"/>
  <c r="AJ29" i="1"/>
  <c r="AJ28" i="1"/>
  <c r="AH29" i="1"/>
  <c r="AH28" i="1"/>
  <c r="AH30" i="1"/>
  <c r="AG29" i="1"/>
  <c r="AG28" i="1"/>
  <c r="AG30" i="1"/>
  <c r="X7" i="1"/>
  <c r="Y9" i="1" l="1" a="1"/>
  <c r="Y9" i="1" s="1"/>
  <c r="Y6" i="1" a="1"/>
  <c r="Y6" i="1" s="1"/>
  <c r="Y5" i="1" a="1"/>
  <c r="Y5" i="1" s="1"/>
  <c r="Y8" i="1" a="1"/>
  <c r="Y8" i="1" s="1"/>
  <c r="X10" i="1"/>
  <c r="Y10" i="1" s="1" a="1"/>
  <c r="Y10" i="1" s="1"/>
  <c r="V4" i="1"/>
  <c r="Y4" i="1" a="1"/>
  <c r="Y4" i="1" s="1"/>
  <c r="Y7" i="1" a="1"/>
  <c r="Y7" i="1" s="1"/>
  <c r="V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tc={28F5CBB7-AA7C-47FD-8A09-CAE4824B325C}</author>
  </authors>
  <commentList>
    <comment ref="J1" authorId="0" shapeId="0" xr:uid="{28F5CBB7-AA7C-47FD-8A09-CAE4824B325C}">
      <text>
        <t>[Threaded comment]
Your version of Excel allows you to read this threaded comment; however, any edits to it will get removed if the file is opened in a newer version of Excel. Learn more: https://go.microsoft.com/fwlink/?linkid=870924
Comment:
    Evaluación Externa preparatoria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<sst xmlns="http://schemas.openxmlformats.org/spreadsheetml/2006/main" count="1362" uniqueCount="530">
  <si>
    <t xml:space="preserve">NOMBRE DE LA INSTITUCIÓN: </t>
  </si>
  <si>
    <t xml:space="preserve">UBICACIÓN: </t>
  </si>
  <si>
    <t xml:space="preserve">TÉCNICO RESPONSABLE DEL PROCESO DE AUTOEVALUACIÓN: </t>
  </si>
  <si>
    <t xml:space="preserve">TÉCNICO RESPONSABLE DEL INDICADOR: </t>
  </si>
  <si>
    <t>CRITERIO ORGANIZACIÓN</t>
  </si>
  <si>
    <t>Tipo</t>
  </si>
  <si>
    <t>Columna en Matriz Pesos</t>
  </si>
  <si>
    <t>SUBCRITERIO PLANIFICACIÓN Y DESARROLLO</t>
  </si>
  <si>
    <t>Indicador: Planificación Estratégica Operativa</t>
  </si>
  <si>
    <t>TIPO DE PESOS</t>
  </si>
  <si>
    <t>A. Pesos Con TP y MT</t>
  </si>
  <si>
    <t>Nro.</t>
  </si>
  <si>
    <t>Elementos Fundamentales</t>
  </si>
  <si>
    <t>Clasificación de Elementos</t>
  </si>
  <si>
    <t>Valoración</t>
  </si>
  <si>
    <t>Nombres de las Evidencias</t>
  </si>
  <si>
    <t>Argumentación</t>
  </si>
  <si>
    <t>Existe una normativa interna, aprobada y vigente, enmarcada en las normas nacionales, sobre el sistema de planificación que establece, al menos, los procedimientos para la elaboración, seguimiento, control y evaluación de la planificación, y la participación en ella de los diferentes actores. En caso de que la institución se gestione por procesos, el manual elaborado para normarlos, si cumple con las exigencias de este tipo de documento e incluye el ámbito de este indicador, equivale a la normativa que aquí se solicita.</t>
  </si>
  <si>
    <t>COMPLEMENTARIO</t>
  </si>
  <si>
    <t>NO CUMPLE</t>
  </si>
  <si>
    <t>1.1.1 PEO</t>
  </si>
  <si>
    <t>ESENCIAL</t>
  </si>
  <si>
    <t>La planificación estratégica ha sido construida con el aporte de actores relevantes del entorno y la participación de representantes de las dependencias institucionales, y de otros actores institucionales relevantes.</t>
  </si>
  <si>
    <t>CUMPLE</t>
  </si>
  <si>
    <t>CANTIDAD DE EF</t>
  </si>
  <si>
    <t>La planificación estratégica es pertinente con la realidad del entorno institucional y, especialmente, con sus necesidades de transformación, en cuya satisfacción puede actuar la institución. Lo anterior debe reflejarse, apropiadamente, en el diagnóstico contenido en el PEDI.</t>
  </si>
  <si>
    <t>VACIO</t>
  </si>
  <si>
    <t>La visión y los objetivos estratégicos  del PEDI conforman una propuesta relevante de desarrollo académico de la institución en el más amplio sentido, cuyo logro reclama de la acción coherente, inteligente y esforzada de autoridades, profesores, trabajadores y estudiantes.</t>
  </si>
  <si>
    <t>El PEDI es coherente internamente, y se expresa; por ejemplo, en la correspondencia de la misión y visión institucionales con las conclusiones del diagnóstico interno y externo o, también, que el logro de los objetivos estratégicos planificados garantice alcanzar la visión, y así sucesivamente.</t>
  </si>
  <si>
    <t>El PEDI orienta con claridad el desarrollo estratégico de las funciones sustantivas a través de la misión, visión y objetivos estratégicos. En el PEDI deben quedar establecidos los niveles de progreso anuales que se deben alcanzar en el cumplimiento de los objetivos estratégicos.</t>
  </si>
  <si>
    <t>El POA debe construirse de manera articulada con el PEDI, a efectos de que su cumplimiento garantice que se alcancen los niveles de progreso previstos en el logro de los objetivos del PEDI para ese año.</t>
  </si>
  <si>
    <t>El POA es la guía operativa del trabajo cotidiano de la institución y su cumplimiento se controla con la periodicidad establecida en la normativa citada, a efectos de tomar acciones correctivas.</t>
  </si>
  <si>
    <t>El PEDI y/o el POA se actualizan cuando lo aconsejan las modificaciones ocurridas en las condiciones para su ejecución, se detectan claros errores en su elaboración o, como se indica al final de la Descripción, dar respuesta a nuevas exigencias en el ámbito de la calidad del desempeño institucional. Las modificaciones deben ser sustentadas, autorizadas y registradas, siguiendo el procedimiento establecido en la normativa interna sobre el sistema de planificación.</t>
  </si>
  <si>
    <t>El representante institucional encargado puede explicar cómo está normado que funcione el sistema de planificación, cómo está funcionando, nivel de cumplimiento que se logra de las actividades del POA, dificultades en la aplicación del sistema y acciones correctivas al respecto.</t>
  </si>
  <si>
    <t>Los representantes de cada área o dependencia institucional pueden explicar, sobre su área, el contenido de la planificación, sus fundamentos, cómo se está procediendo, el estado de su cumplimento, dificultades y deficiencias y acciones correctivas adoptadas.</t>
  </si>
  <si>
    <t>En la web institucional está el PEDI y los POA que le corresponden hasta la fecha. Los integrantes de la comunidad educativa conocen la misión y visión institucionales, que se divulgan apropiadamente, y cuáles son las actividades del POA con las que ellos se relacionan por su rol en la institución y cómo marcha su cumplimiento.</t>
  </si>
  <si>
    <t>Valoración del Indicador:</t>
  </si>
  <si>
    <t>PESO DEL INDICADOR</t>
  </si>
  <si>
    <t xml:space="preserve">UTILIDAD </t>
  </si>
  <si>
    <t>Observación General del Indicador</t>
  </si>
  <si>
    <t>Indicador: Relaciones Internacionales para el Desarrollo</t>
  </si>
  <si>
    <t>Nombre de la Evidencia</t>
  </si>
  <si>
    <t>El instituto planifica y ejecuta sus relaciones interinstitucionales, sobre la base de aprovechar las potencialidades de estas para elevar la calidad del desempeño institucional, especialmente en el desarrollo de las funciones sustantivas. Están dirigidas, preferentemente, a resolver las limitantes institucionales relacionadas con la introducción de innovaciones, la capacitación, el acceso a infraestructura técnica y equipamiento especializado y el desarrollo de proyectos académicos conjuntos. La planificación específica de cada acción incluye, al menos, los objetivos, procedimientos, participantes y cronograma de ejecución. La planificación de las acciones es coherente con los componentes de la planificación institucional (PEDI y POA) que se refieren a las relaciones interinstitucionales.</t>
  </si>
  <si>
    <t>1.1.2 RID</t>
  </si>
  <si>
    <t>Existe una normativa interna, aprobada y vigente, sobre relaciones interinstitucionales que establece, al menos, los objetivos, procedimientos, actores y dependencia institucional a cargo. En caso de que la institución se gestione por procesos, el manual elaborado para normarlos, si cumple con las exigencias de este tipo de documentos e incluye el ámbito de este indicador, equivale a la normativa que aquí se solicita.</t>
  </si>
  <si>
    <t>Los objetivos y los procedimientos de las acciones planificadas son coherentes con las necesidades institucionales que dieron origen a la acción, adecuadamente sustentadas en el diagnóstico institucional, con la capacidad de absorción del instituto y, en el caso de relaciones bilaterales, con las capacidades de la institución contraparte, según lo explicado en la Descripción.</t>
  </si>
  <si>
    <t>Las relaciones interinstitucionales han sido formalizadas a través de diversos instrumentos, preferentemente convenios.</t>
  </si>
  <si>
    <t>El responsable de las relaciones interinstitucionales puede explicar las acciones que se están realizando, el sustento de ellas, procedimientos que se emplean, resultados que se obtienen y direcciones en las que corresponde avanzar. Los profesores/estudiantes participantes pueden explicar lo relativo a la acción en la que intervinieron o intervienen y, especialmente, argumentar sobre su efectividad.</t>
  </si>
  <si>
    <t>Se han realizado acciones de movilidad de profesores y estudiantes a nivel nacional o internacional. Los resultados alcanzados son satisfactorios. En la valoración de este elemento fundamental deben tenerse en cuenta los valores calculados para los indicadores de sustento Porcentaje de profesores que ha participado en acciones de movilidad y Porcentaje de estudiantes que participó en acciones de movilidad, que aparecen en la Descripción.</t>
  </si>
  <si>
    <t>Se han formalizado relaciones de colaboración con instituciones extranjeras, existe una planificación y hay actividades ejecutadas con un cumplimiento satisfactorio de sus objetivos.</t>
  </si>
  <si>
    <t>Existe un cumplimiento satisfactorio de los objetivos planteados en cada una de las acciones de las relaciones interinstitucionales. Las relaciones interinstitucionales son un aporte significativo al desarrollo institucional. Para la evaluación de este elemento fundamental se tendrá en cuenta, como otra fuente de información, el valor calculado para los indicadores de sustento Número de instituciones externas con las que se  relaciona el instituto, promedio, por carrera y Número de redes académicas y del entorno de producción o servicios en las que participa efectivamente el instituto, promedio, por carrera, que aparecen en la Descripción.</t>
  </si>
  <si>
    <t>Indicador: Aseguramiento Interno de la Calidad</t>
  </si>
  <si>
    <t>La institución desarrolla acciones sistematizadas dirigidas al aseguramiento interno de la calidad (AIC), que se rigen por una normativa interna, aprobada y vigente, que se enmarca en las normas nacionales, especialmente, en los preceptos legales indicados en la Descripción. En la normativa del AIC se establecen, al menos, sus objetivos, estructura, actores, procedimientos de trabajo, incluidos los procedimientos para el desarrollo de la autoevaluación en todas sus fases y la dependencia institucional a cargo del AIC. En caso de que la institución se gestione por procesos, el manual elaborado para normarlos, si cumple con las exigencias de este tipo de documentos e incluye el ámbito de este indicador, equivale a la normativa que aquí se solicita.</t>
  </si>
  <si>
    <t>1.1.3 AIC</t>
  </si>
  <si>
    <t>Se divulga entre los actores institucionales la existencia, objetivos, procedimientos y actores del AIC. Se promociona la necesidad de la construcción colectiva de la calidad.</t>
  </si>
  <si>
    <t>Los procesos de autoevaluación se basan en estándares rigurosos y son planificados y ejecutados adecuadamente. Un proceso de autoevaluación puede abarcar el conjunto del desempeño institucional o convocarse diferentes procesos, según ámbitos específicos, en varios momentos. La autoevaluación se desarrolla según los lineamientos elegidos por la institución, que están indicados en la normativa.</t>
  </si>
  <si>
    <t>Los resultados de la autoevaluación se divulgan entre la comunidad educativa de la institución y a partir de estos se generan acciones correctivas, de perfeccionamiento y estímulo que se incorporan, cuando corresponde, en la planificación estratégica/operativa.</t>
  </si>
  <si>
    <t>Los actores del AIC demuestran dominio del modelo de evaluación institucional para institutos superiores del CACES, que debe ser un referente importante para establecer los estándares que guiarán los esfuerzos de mejoramiento de la calidad en la institución.</t>
  </si>
  <si>
    <t>Los actores del AIC acompañan a las diferentes dependencias institucionales en su labor para alcanzar los estándares de calidad que se ha planteado la institución, en correspondencia con el referente que ha adoptado.</t>
  </si>
  <si>
    <t>Indicador: Sistema informático de gestión</t>
  </si>
  <si>
    <t>El SIG, incluida la herramienta de gestión documental, cuenta con un reglamento oficial, aprobado y vigente, que establece: su uso obligatorio para la gestión institucional, incluyendo la actualización de la información, objetivos, características generales, entidad responsable, deberes de los usuarios, normas para el funcionamiento y sanciones por incumplimiento del reglamento.</t>
  </si>
  <si>
    <t>1.1.4 SIG</t>
  </si>
  <si>
    <t>El SIG debe satisfacer las exigencias informativas del AIC, incluyendo los datos, evidencias documentales, valoraciones y cálculo de indicadores, relacionados con los procesos de autoevaluación. Debe contar con la flexibilidad requerida para adaptarse a especificidades institucionales y de carreras.</t>
  </si>
  <si>
    <t>El SIG permite la realización de trámites académicos y administrativos de manera remota, desde computador de escritorio o desde dispositivos móviles, y reduce, en los trámites, el tiempo de respuesta, necesidad de desplazamientos, errores, tiempo para acceder a documentos, y prescindir, o en su defecto reducir, sustancialmente, las impresiones.</t>
  </si>
  <si>
    <t>El SIG auxilia la planificación, organización, control y evaluación de los procesos relacionados con las tres funciones sustantivas y los procesos administrativos, y disminuye los tiempos de ejecución y los errores, al realizar esas actividades.</t>
  </si>
  <si>
    <t>Existe y está operativa, incorporada en el SIG o no, una herramienta de gestión documental que cumple con los estándares internacionales correspondientes y que opera un repositorio de los documentos de gestión de la actividad académica y administrativa.</t>
  </si>
  <si>
    <t>El SIG, incluida la herramienta de gestión documental, cuenta con un manual de usuario que contribuye a facilitar la interacción de estos con el sistema y que puede estar apoyado por tutoriales y otros recursos didácticos.</t>
  </si>
  <si>
    <t>Los usuarios actuales, incluidos los nuevos profesores, estudiantes y empleados, han sido adecuadamente capacitados. Queda a opción de la institución la organización de cursos presenciales o de un MOOC, en cualquier caso, de aprobación obligatoria. Los usuarios muestran las habilidades requeridas al interactuar con el SIG, incluida la herramienta de gestión documental</t>
  </si>
  <si>
    <t>El SIG está totalmente operativo y da respuesta a las demandas de los usuarios sobre la base de contar con el equipamiento y el soporte técnico requeridos, propios o en   contratación con externos.</t>
  </si>
  <si>
    <t>SUBCRITERIO GESTIÓN SOCIAL</t>
  </si>
  <si>
    <t>Indicador: Igualdad de oportunidades</t>
  </si>
  <si>
    <t>Existe una normativa interna aprobada y vigente de acción afirmativa, enmarcada en las normas nacionales, que contiene, al menos, los objetivos, políticas, procedimientos, beneficiarios, dependencia y otros actores. En caso de que la institución se gestione por procesos, el manual elaborado para normarlos, si cumple con las exigencias de este tipo de documentos e incluye el ámbito de este indicador, equivale a la normativa que aquí se solicita.</t>
  </si>
  <si>
    <t>1.2.1 IDO</t>
  </si>
  <si>
    <t>La normativa de acción afirmativa está en la web institucional y la comunidad educativa la conoce, especialmente lo referido a las posibilidades de beneficio que ofrece a las personas en condición de vulnerabilidad.</t>
  </si>
  <si>
    <t>La intensidad de las acciones afirmativas orientadas al conjunto de la comunidad educativa, están en correspondencia con sus necesidades y las del entorno. Para el análisis de este elemento fundamental se tendrán en cuenta las consideraciones y el resultado del cálculo del indicador cuantitativo de sustento “Estudiantes beneficiados por acciones afirmativas”, incluidos en la Descripción.</t>
  </si>
  <si>
    <t>La intensidad de las acciones afirmativas orientadas específicamente hacia las mujeres, están en correspondencia con las necesidades de las profesoras, estudiantes y trabajadoras. Para el análisis de este elemento fundamental se tendrán en cuenta las consideraciones y el resultado del cálculo de los indicadores cuantitativos de sustento incluidos en la Descripción. El análisis de los resultados de los indicadores cuantitativos de sustento se debe hacer sobre la base de tres comparaciones, cuyo orden de presentación no indica jerarquía ni la secuencia en que deben ser realizadas:
i.	Comparar el resultado del indicador b) Profesoras en cargos de dirección académica, con el resultado del indicador a) Profesoras en el instituto.
ii.	Comparar el resultado del indicador d) Profesoras en procesos de capacitación, con el resultado del indicador c) Profesores totales en procesos de capacitación.
iii.	Comparar el resultado del indicador f) Profesoras cuyo máximo título es un grado universitario y se encuentran cursando una maestría académica en una universidad o una maestría tecnológica, con el resultado del indicador e) Profesores totales cuyo máximo título es un grado universitario y se encuentran cursando una maestría académica en una universidad o una maestría tecnológica.</t>
  </si>
  <si>
    <t>El instituto desarrolla, por diferentes vías, una acción educativa sistemática dirigida a desarrollar una conciencia de igualdad plena entre todas las personas, para hacer desaparecer las percepciones discriminatorias de cualquier origen “etnia, lugar de nacimiento, edad, sexo, identidad de género, identidad cultural, estado civil, idioma, religión, ideología, filiación política, pasado judicial, condición socio-económica, condición migratoria, orientación sexual, estado de salud, portar VIH, discapacidad, diferencia física; ni por cualquier otra distinción, personal o colectiva, temporal o permanente, que tenga por objeto o resultado menoscabar o anular el reconocimiento, goce o ejercicio de los derechos.” (Constitución de la República, 2008, Art. 11, literal 2).</t>
  </si>
  <si>
    <t>Indicador: Ética y transparencia</t>
  </si>
  <si>
    <t>El funcionamiento del instituto se basa en el respeto estricto a la constitución, a las leyes y a las normas de menor jerarquía que le atañen. Existe y se aplica, correctamente, un código de ética institucional que incluye normas generales en este ámbito, normas específicas que deben regir en una institución educativa, incluyendo las referidas a las relaciones entre profesores y estudiantes y el funcionamiento del comité de ética, así como las normas que, apoyadas en la utilización de los instrumentos técnicos apropiados, contribuyen a prevenir y corregir las prácticas académicas deshonestas. El código de ética del instituto ha sido elaborado en el marco de la normativa nacional pertinente. En aspectos particulares, la institución se rige también por los principios deontológicos que corresponden a las carreras que se cursan en la institución.</t>
  </si>
  <si>
    <t>1.2.2 YET</t>
  </si>
  <si>
    <t xml:space="preserve">Las normas incluidas en el código de ética institucional se divulgan y son conocidas por estudiantes y profesores, especialmente aquellas que atañen a las instituciones educativas en general y a la actividad académica en particular. </t>
  </si>
  <si>
    <t>En la institución existe y funciona un comité de ética que está integrado por representantes de la comunidad educativa que cuentan con un elevado reconocimiento por su honorabilidad. El comité tiene como misión conocer, reflexionar, alertar y educar en los temas relacionados con el comportamiento ético de los miembros de la comunidad educativa.</t>
  </si>
  <si>
    <t>La información que ofrece el instituto, por cualquier vía, a la comunidad educativa o a la sociedad en general, sobre sus fines, oferta académica, costos, funcionamiento, condiciones, resultados, autoridades, profesores, estudiantes y otros aspectos académicos o administrativos es verídica, actualizada y clara.</t>
  </si>
  <si>
    <t>Las autoridades rinden cuenta de su gestión, al menos, anualmente, ante la comunidad educativa.</t>
  </si>
  <si>
    <t>La comunidad educativa expresa su confianza en que la institución se gestiona de modo ético y transparente, y que el mérito y esfuerzo académico, y el buen comportamiento social, son la base para valorar a los miembros de la comunidad educativa.</t>
  </si>
  <si>
    <t>La comunidad educativa considera verídica y suficiente la información que recibe de las autoridades institucionales</t>
  </si>
  <si>
    <t>La comunidad educativa no teme retaliación por parte de las autoridades cuando se hacen reclamos o críticas.</t>
  </si>
  <si>
    <t>Existe una imagen positiva de la institución en su entorno. No hay cuestionamientos públicos fundados sobre el funcionamiento ético y la transparencia de la institución.</t>
  </si>
  <si>
    <t xml:space="preserve">El Órgano Colegiado Superior funciona según las normas aprobadas y en un ambiente de libertad de expresión. </t>
  </si>
  <si>
    <t>No hay sanciones administrativas ejecutoriadas contra la institución por cuestiones que tienen que ver con el comportamiento ético de esta en los ámbitos laboral, tributario y ambiental.</t>
  </si>
  <si>
    <t xml:space="preserve">El instituto realiza las acciones educativas, preventivas y correctivas necesarias en relación con los actos de deshonestidad académica, especialmente, el fraude durante los exámenes, el plagio y la violación del código de ética en las investigaciones y el desarrollo experimental. </t>
  </si>
  <si>
    <t>Los estados financieros de la institución entregados al CES, las remuneraciones de las autoridades, profesores, investigadores, servidores y trabajadores, el PEDI y el POA, los informes de rendición de cuentas y las normas internas de la institución en los diferentes ámbitos, deben estar en la web institucional.</t>
  </si>
  <si>
    <t xml:space="preserve">Indicador: Bienestar psicológico </t>
  </si>
  <si>
    <t>La propuesta pedagógica de la institución reconoce la necesidad de trabajar por el bienestar psicológico de los integrantes de la comunidad educativa y establece los caminos para ello, como una contribución significativa al propósito de contar con una sociedad más feliz.</t>
  </si>
  <si>
    <t>1.2.3 BPS</t>
  </si>
  <si>
    <t xml:space="preserve">Los estudiantes tienen confianza en el éxito en sus estudios y aprecian que las autoridades institucionales y sus profesores son agentes positivos para identificar y desarrollar en ellos sus fortalezas y virtudes, su propósito de vida, la autoestima, la autodeterminación y la autoconfianza. Valoran como agradable, y estimulante para la realización de sus proyectos de vida, educarse en la institución. </t>
  </si>
  <si>
    <t>Los profesores y los trabajadores se sienten tratados de manera respetuosa y afable por las autoridades, que se preocupan por generar un ambiente de trabajo saludable que potencia el bienestar físico y psicológico, y reconocen que la institución es un espacio de crecimiento profesional y personal. Valoran como agradable, y estimulante para la realización de sus proyectos de vida, ser parte de la institución.</t>
  </si>
  <si>
    <t>El instituto ha diseñado y ejecuta, satisfactoriamente, a través de la unidad de bienestar estudiantil, proyectos de intervención basados en la psicología positiva, fundamentados  científicamente, para potenciar el bienestar psicológico en la comunidad
educativa.</t>
  </si>
  <si>
    <t>Se evalúan los resultados obtenidos en estudiantes y profesores en los programas de intervención basados en
la psicología positiva.</t>
  </si>
  <si>
    <t>CRITERIO INFRAESTRUCTURA</t>
  </si>
  <si>
    <t>SUBCRITERIO INFRAESTRUCTURA BÁSICA</t>
  </si>
  <si>
    <t xml:space="preserve">Indicador Seguridad y salud ocupacional </t>
  </si>
  <si>
    <t>Existe una normativa interna de seguridad y salud ocupacional, oficialmente denominado Reglamento de higiene y seguridad, enmarcada en las normas nacionales. En caso de que la institución se gestione por procesos, el manual elaborado para normarlos, si cumple con las exigencias de este tipo de documentos e incluye el ámbito de este indicador, equivale a la normativa que aquí se solicita. La institución cuenta con un plan de emergencias. Ambos documentos están aprobados y vigentes y son conocidos por profesores, estudiantes y trabajadores.</t>
  </si>
  <si>
    <t>2.1.2 SSO</t>
  </si>
  <si>
    <t>La institución realiza acciones técnicas (identificación, medición, evaluación y control de riesgos), como mecanismos de prevención de riesgos laborales.</t>
  </si>
  <si>
    <t>El instituto capacita a profesores, estudiantes y trabajadores sobre los riesgos a que están expuestos. Los miembros de la comunidad educativa conocen esos riesgos y saben cómo actuar frente a ellos, así como sus responsabilidades en materia de seguridad y salud.</t>
  </si>
  <si>
    <t>La institución cuenta con las instalaciones, equipamiento, insumos y, dispone o contrata los servicios, de recursos humanos especializados, para la labor de prevención, que incluye el desarrollo de simulacros para hacer frente a emergencias y desastres.</t>
  </si>
  <si>
    <t>Se realizan inspecciones periódicas de seguridad (extintores, luces de emergencias, vías de evacuación, instalaciones, orden y limpieza, etc.) y se adoptan las medidas necesarias en caso de requerirlas, incluido el mantenimiento de la infraestructura.</t>
  </si>
  <si>
    <t>El instituto cuenta con un botiquín de primeros auxilios que contiene los insumos requeridos para enfrentar problemas menores de salud. Cuenta con enfermería o servicio médico, de acuerdo al número de integrantes de la comunidad educativa 1 . A efectos del cumplimiento de lo referente a servicios de enfermería y propiamente médicos, el instituto podrá establecer convenios con prestadores de estos servicios, públicos o particulares, que se encuentren en las cercanías de la institución.</t>
  </si>
  <si>
    <t>El instituto ha creado las condiciones y hace la labor divulgativa correspondiente, para que la comunidad educativa practique apropiadas reglas de higiene que reduzcan la posibilidad de contagio de enfermedades, según lo indicado en la Descripción.</t>
  </si>
  <si>
    <t>El instituto ha creado las condiciones y hace la labor divulgativa correspondiente, para que la comunidad educativa practique un estilo de vida más saludable, según lo indicado en la Descripción.</t>
  </si>
  <si>
    <t>En el caso de que se produzcan alimentos, la institución cumple con los estándares sanitarios establecidos en la producción de estos y otros artículos destinados al consumo interno y/o externo.</t>
  </si>
  <si>
    <t xml:space="preserve">Indicador Accesibilidad física y esparcimiento </t>
  </si>
  <si>
    <t>En la institución las personas con discapacidad física (motora) y sensorial (visual y auditiva) pueden acceder y desplazarse, sin barreras arquitectónicas que lo limiten, por la institución, incluyendo los espacios abiertos, y hacer uso de todas las instalaciones que requieran. Para lo anterior se deben tener en cuenta las normas referidas en la Descripción y, particularmente, lo indicado a continuación:
i.	Rampas y/o ascensores como alternativa a las gradas. 
ii.	Ancho de pasillos y puertas, incluidas las de los ascensores, así como espacios en aulas, laboratorios, talleres, oficinas y otros, que permitan la circulación fluida y segura, y el estacionamiento, de personas en silla de ruedas o que utilicen otros tipos de ayudas técnicas para su desplazamiento.
iii.	Identificación de aulas, laboratorios, talleres, oficinas, servicios higiénicos etc., y accesos de la institución, con letreros en alfabeto braille.
iv.	Servicios higiénicos accesibles, cercanos y exclusivos, que cumplan rigurosamente con lo establecido en las normas técnicas referidas.
v.	Estacionamientos de autos, exclusivos y señalizados, para personas con discapacidad física, que deben estar en número suficiente para los potenciales usuarios identificados y ser los más cercanos a los accesos de las edificaciones.
vi.	Pupitres con diseño apropiado para personas con discapacidad física (motora) que no utilizan silla de ruedas.</t>
  </si>
  <si>
    <t>2.1.3 AFE</t>
  </si>
  <si>
    <t>Los servicios higiénicos son suficientes 2 , todos sus componentes están completamente operativos, tienen excelente limpieza, disponen de agua corriente, adecuada iluminación y ventilación, y cuentan con insumos como papel higiénico, toallas de mano y, especialmente, jabón.</t>
  </si>
  <si>
    <t>Existen una o varias cafeterías, según el número de estudiantes, que expenden, al menos, alimentos ligeros. Estos establecimientos tienen vigentes todos los permisos requeridos para su funcionamiento.  La limpieza del espacio y de su mobiliario y equipamiento, es excelente. La conservación y manipulación de los alimentos cumple con altos estándares higiénicos, según las normas correspondientes. Los espacios disponibles para el consumo de alimentos favorecen un distanciamiento apropiado entre los consumidores, que tienen acceso a un lavamanos cercano que siempre cuenta con agua corriente y jabón. Para los institutos que están ubicados en zonas con suficientes comercios de alimentos ligeros, no se exige la existencia de cafetería.</t>
  </si>
  <si>
    <t>Existen áreas de esparcimiento, propias de la institución, en las categorías indicadas en la Descripción, y otras que se consideren apropiadas, que son suficientes, limpias, están en la institución o muy cercanas a esta, tienen un adecuado mantenimiento, y son atractivas y diversas según el criterio de los estudiantes.</t>
  </si>
  <si>
    <t>CRITERIO PROFESORES</t>
  </si>
  <si>
    <t>SUBCRITERIO SELECCIÓN Y FORMACIÓN PREVIA</t>
  </si>
  <si>
    <t xml:space="preserve">Indicador Selección de profesores </t>
  </si>
  <si>
    <t>Existe una normativa interna, aprobada y vigente, enmarcada en las normas nacionales, para la selección de los profesores, que contiene, al menos, objetivos, atributos de calidad, procedimientos, actores y dependencia institucional. En caso de que la institución se gestione por procesos, el manual elaborado para normarlos, si cumple con las exigencias de este tipo de documentos e incluye el ámbito de este indicador, equivale a la normativa que aquí se solicita.</t>
  </si>
  <si>
    <t>3.1.1 SDP</t>
  </si>
  <si>
    <t>El instituto ejecuta procesos de selección y/o concursos de méritos y oposición transparentes, técnicamente rigurosos y justos, en correspondencia con lo  planteado en el Reglamento de Carrera y Escalafón y en la Descripción, para garantizar el ingreso de los mejores candidatos.</t>
  </si>
  <si>
    <t>SUBCRITERIO INFORMATIZACIÓN DEL PROCESO DE ENSEÑANZA</t>
  </si>
  <si>
    <t xml:space="preserve">Indicador Entorno virtual de aprendizaje  </t>
  </si>
  <si>
    <t>El instituto cuenta con un Entorno Virtual de Aprendizaje (EVA), que garantiza su  accesibilidad 24 horas los 7 días de la semana, y que apoya y soporta los procesos académicos.</t>
  </si>
  <si>
    <t>4.2.1 EVA</t>
  </si>
  <si>
    <t>Existe una normativa interna aprobada y vigente sobre el EVA que establece, al menos, objetivos, responsable, lineamientos generales sobre el EVA y su diseño, seguridad, recursos del EVA, almacenamiento y actividades de soporte de usuarios, normas para su utilización. En caso de que la institución se gestione por procesos, el manual elaborado para normarlos, si cumple con las exigencias de este tipo de documentos e incluye el ámbito de este indicador, equivale a la normativa que aquí se solicita.</t>
  </si>
  <si>
    <t>El EVA permite la interacción sincrónica y asincrónica entre profesores y estudiantes.</t>
  </si>
  <si>
    <t>El EVA permite a los estudiantes acceder a los materiales de las diferentes asignaturas (textos de estudio, videos, imágenes, etc.) así como realizar actividades individuales y colaborativas (tareas, evaluaciones, etc.).</t>
  </si>
  <si>
    <t>El diseño del EVA se adapta a las necesidades de la institución en cuanto a, al menos: modalidades de estudio, organización académica, estrategias de enseñanza, modelo educativo.</t>
  </si>
  <si>
    <t>El EVA está consolidado y se utiliza cotidianamente por los actores del proceso educativo.</t>
  </si>
  <si>
    <t>Existe un responsable de EVA, el cual se encarga de administrar el acceso y control de todos los usuarios, así como de brindarles soporte técnico garantizando la actualización y operatividad.</t>
  </si>
  <si>
    <t>Existen guías de uso, videos tutoriales o se realizan capacitaciones para profesores y estudiantes sobre el uso del EVA.</t>
  </si>
  <si>
    <t>SUBCRITERIO BIBLIOTECA</t>
  </si>
  <si>
    <t xml:space="preserve">Indicador Funcionamiento de la biblioteca </t>
  </si>
  <si>
    <t xml:space="preserve">El instituto cuenta con una normativa interna aprobada y vigente sobre la gestión de la biblioteca. En caso de que la institución se gestione por procesos, el manual elaborado para normarlos, si cumple con las exigencias de este tipo de documentos e incluye el ámbito de este indicador, equivale a la normativa que aquí se solicita. </t>
  </si>
  <si>
    <t>4.5.1 BIB</t>
  </si>
  <si>
    <t>El personal de la biblioteca realiza actividades de formación de usuarios, de manera cotidiana y mediante actividades planificadas (asesoría para consulta en sala, indicaciones generales, apoyo en la utilización del catálogo, talleres, capacitaciones), sobre la base de lo indicado en la Descripción.</t>
  </si>
  <si>
    <t>La biblioteca realiza sistemáticamente actividades de difusión de sí misma, de la ciencia y la cultura, sobre la base de lo indicado en la Descripción. Se tendrán en cuenta la relevancia y el nivel de asistencia a estas actividades.</t>
  </si>
  <si>
    <t>La biblioteca del instituto cuenta con un sistema informático para su gestión, el cual permite el acceso remoto al catálogo y a los documentos en soporte digital; y el seguimiento del uso del acervo. Los profesores y estudiantes utilizan con eficacia el sistema informático, especialmente para hacer recuperación automatizada de la información que requieren.</t>
  </si>
  <si>
    <t>Están incorporados en el sistema informático las referencias y el resultado de la indización por contenido de los documentos bibliográficos con que cuenta la biblioteca. Se exceptúan de esta exigencia los documentos que ingresaron a la biblioteca en los 30 días anteriores a la visita in situ.</t>
  </si>
  <si>
    <t>La diversidad de servicios que ofrece la biblioteca la convierte en un espacio asiduo de trabajo y encuentro por parte de la comunidad académica. Para valorar este elemento se tendrá en cuenta el resultado del cálculo del indicador cuantitativo de sustento “Utilización de la sala de lectura” incluido en la Descripción de este indicador.</t>
  </si>
  <si>
    <t>El personal que atiende la biblioteca posee preparación específica para su adecuada gestión y funcionamiento, conforme lo señalado en la Descripción.</t>
  </si>
  <si>
    <t>La biblioteca ofrece condiciones adecuadas para el trabajo individual y grupal de los usuarios, sobre la base de lo indicado en la Descripción Para valorar este elemento se tendrá en cuenta el resultado del cálculo del indicador cuantitativo de sustento “Número de estudiantes por puesto de trabajo” incluido en la Descripción de este indicador.</t>
  </si>
  <si>
    <t>CRITERIO VINCULACIÓN CON LA SOCIEDAD</t>
  </si>
  <si>
    <t>SUBCRITERIO PLANIFICACIÓN Y EJECUCIÓN DE LA VINCULACIÓN</t>
  </si>
  <si>
    <t xml:space="preserve">Indicador Planificación y ejecución de la vinculación con la sociedad  </t>
  </si>
  <si>
    <t>Existe una normativa interna aprobada y vigente, enmarcada en las normas nacionales, de vinculación con la sociedad que indica, al menos, la estructura institucional que la atiende y describe los procedimientos para gestionar la actividad de vinculación y el rol de sus diferentes actores. En caso de que la institución se gestione por procesos, el manual elaborado para normarlos, si cumple con las exigencias de este tipo de documentos e incluye el ámbito de este indicador, equivale a la normativa que aquí se solicita.</t>
  </si>
  <si>
    <t>6.1.1 PEV</t>
  </si>
  <si>
    <t>Existe una planificación estratégica de la actividad de vinculación con la sociedad, metodológicamente bien elaborada, que está integrada en el PEDI y es coherente con el resto de la planificación estratégica. La planificación operativa de la vinculación con la sociedad es parte del POA y está articulada, apropiadamente, con la planificación estratégica.</t>
  </si>
  <si>
    <t>La planificación de la vinculación con la sociedad se compone de programas y proyectos ejecutados o en ejecución, que cumplen con los requisitos señalados en la Descripción del indicador. Los proyectos deben estar ligados, preferentemente, a programas.</t>
  </si>
  <si>
    <t>La planificación de la vinculación se sustenta en un diagnóstico apropiado de las demandas sociales y en la posibilidad de incorporar innovaciones, y de desarrollar las capacidades de los beneficiarios. Los procedimientos utilizados en el diagnóstico, así como sus resultados, deben estar explícitos en el PEDI. El diagnóstico debe construirse con la participación de los actores externos involucrados, especialmente los potenciales beneficiarios. En correspondencia con las demandas sociales e intereses culturales, y con sus posibilidades, el instituto puede incluir, también, en su planificación de vinculación con la sociedad proyectos sobre problemas sociales y culturales en general, o de la naturaleza, relacionados, principalmente, con su entorno.</t>
  </si>
  <si>
    <t>Los documentos de los proyectos de vinculación con la sociedad están correctamente elaborados y contienen los componentes básicos indicados en la Descripción del indicador.</t>
  </si>
  <si>
    <t>Los proyectos de vinculación se ejecutan, salvo casos adecuadamente fundamentados, según lo establecido en su propio plan. La ejecución es objeto de seguimiento, control y evaluación por parte de la institución y se han cumplido, o están en proceso de cumplimiento, los objetivos planteados. La evaluación de los proyectos de vinculación con la sociedad se centra en el cumplimiento de sus objetivos.</t>
  </si>
  <si>
    <t>Los responsables de los programas y proyectos de vinculación con la sociedad pueden explicar y sustentar la planificación y explicar cómo marcha la ejecución, en los casos que les correspondan.</t>
  </si>
  <si>
    <t>La intensidad del accionar en vinculación con la sociedad corresponde a las capacidades de organización, opciones temáticas y disponibilidad de recursos humanos de la institución, expresada esa correspondencia, a través de la relación que guarda el número, magnitud y complejidad de los proyectos de vinculación con la sociedad realizados, con el número de carreras, de estudiantes matriculados en la institución y de profesores equivalentes. A esos efectos, se tendrá en cuenta el resultado del cálculo de los tres indicadores cuantitativos de sustento incluidos en la Descripción.</t>
  </si>
  <si>
    <t>Tanto la planificación, como los resultados de los proyectos de vinculación con la sociedad se divulgan y debaten al interior de la comunidad académica. Las entidades beneficiarias participan desde la construcción de los proyectos hasta la valoración de los resultados.</t>
  </si>
  <si>
    <t>En todos los proyectos de vinculación con la sociedad participan estudiantes y cada uno de ellos cuenta con un plan de aprendizaje en el proyecto, conforme lo señalado en la Descripción, cuya ejecución es objeto de seguimiento, control y evaluación. Los estudiantes pueden explicar cómo está concebido y programado el proyecto, cómo marcha su ejecución y como avanza en su plan de aprendizaje.</t>
  </si>
  <si>
    <t>SUBCRITERIO PRESENCIA EN LA COMUNIDAD</t>
  </si>
  <si>
    <t xml:space="preserve">Indicador Presencia de la institución en la comunidad </t>
  </si>
  <si>
    <t>La institución pone a disposición de la comunidad espacios institucionales.</t>
  </si>
  <si>
    <t>6.2.1 PIC</t>
  </si>
  <si>
    <t>La institución participa regularmente en la vida social y cultural de su entorno; ya sea mediante la participación en eventos organizados por instituciones públicas o privadas; o a través de la organización de actividades y eventos sociales y culturales para la comunidad.</t>
  </si>
  <si>
    <t>La institución desarrolla acciones para contribuir al desarrollo de intereses profesionales afines a las carreras del instituto en los estudiantes de bachillerato y en jóvenes  egresados de este nivel de enseñanza que se interesan por conocer opciones para continuar sus estudios.</t>
  </si>
  <si>
    <t>ESTADO DE ELEMENTO FUNDAMENTAL</t>
  </si>
  <si>
    <t>TIPO ELEMENTO FUNDAMENTAL</t>
  </si>
  <si>
    <t>CONDICION 1</t>
  </si>
  <si>
    <t>CONDICIÓN 2</t>
  </si>
  <si>
    <t>VALORACIÓN</t>
  </si>
  <si>
    <t>ESCENCIAL</t>
  </si>
  <si>
    <t>Valor</t>
  </si>
  <si>
    <t>SATISFACTORIO</t>
  </si>
  <si>
    <t>CUMPLE CON TODOS LOS ELEMENTOS</t>
  </si>
  <si>
    <t>CUASI-SATISFACTORIO</t>
  </si>
  <si>
    <t>NO CUMPLE CON TODOS LOS ELEMENTOS</t>
  </si>
  <si>
    <t>POCO-SATISFACTORIO</t>
  </si>
  <si>
    <t>CUMPLE CON AL MENOS 1 ELEMENTO</t>
  </si>
  <si>
    <t>DEFICIENTE</t>
  </si>
  <si>
    <t>NO CUMPLE CON NINGÚN ELEMENTO</t>
  </si>
  <si>
    <t>INDISTINTO</t>
  </si>
  <si>
    <t>CRITERIO</t>
  </si>
  <si>
    <t xml:space="preserve">N° </t>
  </si>
  <si>
    <t>Cod</t>
  </si>
  <si>
    <t xml:space="preserve">Indicadores </t>
  </si>
  <si>
    <t>Estándar - Descripción</t>
  </si>
  <si>
    <t>Estándar - Condicional</t>
  </si>
  <si>
    <t>Valor Estándar</t>
  </si>
  <si>
    <t>Pesos</t>
  </si>
  <si>
    <t>RESULTADO DE AUTOEVALUACION</t>
  </si>
  <si>
    <t>Escalado</t>
  </si>
  <si>
    <t>Equivalencia</t>
  </si>
  <si>
    <t>Organización</t>
  </si>
  <si>
    <t xml:space="preserve">Planificación estratégica y operativa </t>
  </si>
  <si>
    <t>Cualitativo</t>
  </si>
  <si>
    <t>MOOD DOCENTES</t>
  </si>
  <si>
    <t>2151.1</t>
  </si>
  <si>
    <t>SUBCRITERIO</t>
  </si>
  <si>
    <t>Ubicación en hoja</t>
  </si>
  <si>
    <t xml:space="preserve">A .Pesos de los indicadores </t>
  </si>
  <si>
    <t xml:space="preserve">B. Pesos sin TP </t>
  </si>
  <si>
    <t xml:space="preserve">C. Pesos sin MT ni TP </t>
  </si>
  <si>
    <t xml:space="preserve">Relaciones interinstitucionales para el desarrollo </t>
  </si>
  <si>
    <t>Objetivo</t>
  </si>
  <si>
    <t>Evaluación Externa Preparatoria</t>
  </si>
  <si>
    <t>Conclusión</t>
  </si>
  <si>
    <t>Evaluación Externa preparatoria</t>
  </si>
  <si>
    <t>Planificación y Desarrollo</t>
  </si>
  <si>
    <t>IND1 1 1PEO</t>
  </si>
  <si>
    <t xml:space="preserve">Aseguramiento interno de la calidad </t>
  </si>
  <si>
    <t>IND1 1 2RID</t>
  </si>
  <si>
    <t xml:space="preserve">Sistema informático de gestión </t>
  </si>
  <si>
    <t>Infraestructura</t>
  </si>
  <si>
    <t>IND1 1 3AIC</t>
  </si>
  <si>
    <t xml:space="preserve">Igualdad de oportunidades </t>
  </si>
  <si>
    <t>Profesores</t>
  </si>
  <si>
    <t>IND1 1 4SIG</t>
  </si>
  <si>
    <t xml:space="preserve">Ética y transparencia </t>
  </si>
  <si>
    <t>Docencia</t>
  </si>
  <si>
    <t>Gestión Social</t>
  </si>
  <si>
    <t>IND1 2 1IDO</t>
  </si>
  <si>
    <t xml:space="preserve">Bienestar psicológico </t>
  </si>
  <si>
    <t>I+D e Innovación</t>
  </si>
  <si>
    <t>IND1 2 2EYT</t>
  </si>
  <si>
    <t>2.1.1 PTP</t>
  </si>
  <si>
    <t xml:space="preserve">Puestos de trabajo de los profesores </t>
  </si>
  <si>
    <t>Cuantitativo</t>
  </si>
  <si>
    <t>Es al menos 1</t>
  </si>
  <si>
    <t>&gt;=1</t>
  </si>
  <si>
    <t>Vinculación con la sociedad</t>
  </si>
  <si>
    <t>ORDEN PESOS</t>
  </si>
  <si>
    <t>TIPO PESOS</t>
  </si>
  <si>
    <t>Columna</t>
  </si>
  <si>
    <t>IND1 2 3BPS</t>
  </si>
  <si>
    <t xml:space="preserve">Seguridad y salud ocupacional </t>
  </si>
  <si>
    <t>Infraestructura Básica</t>
  </si>
  <si>
    <t>IND2 1 1PTP</t>
  </si>
  <si>
    <t xml:space="preserve">Accesibilidad física y esparcimiento </t>
  </si>
  <si>
    <t>IND2 1 2SSO</t>
  </si>
  <si>
    <t>2.1.4 ADB</t>
  </si>
  <si>
    <t xml:space="preserve">Ancho de banda </t>
  </si>
  <si>
    <t>al menos 500kb/s</t>
  </si>
  <si>
    <t>&gt;=500kb/s</t>
  </si>
  <si>
    <t>IND2 1 3AFE</t>
  </si>
  <si>
    <t xml:space="preserve">Selección de profesores </t>
  </si>
  <si>
    <t>IND2 1 4ADB</t>
  </si>
  <si>
    <t>3.1.2 FDP</t>
  </si>
  <si>
    <t xml:space="preserve">Formación de posgrado </t>
  </si>
  <si>
    <t>Al menos el 50% Tiene Título Maestría o Doctorado</t>
  </si>
  <si>
    <t>&gt;=50%</t>
  </si>
  <si>
    <t>Selección y Formación Previa</t>
  </si>
  <si>
    <t>IND3 1 1SDP</t>
  </si>
  <si>
    <t>3.1.3 ETC</t>
  </si>
  <si>
    <t xml:space="preserve">Experiencia profesional práctica de profesores TC de contenidos profesionales </t>
  </si>
  <si>
    <t>Al menos el 50% Tiene Experiencia práctica acumulada de min. 3 años</t>
  </si>
  <si>
    <t>IND3 1 2FDP</t>
  </si>
  <si>
    <t>3.1.4 EMP</t>
  </si>
  <si>
    <t xml:space="preserve">Ejercicio profesional práctico de profesores MT y TP de contenidos profesionales </t>
  </si>
  <si>
    <t>El 100% (MT y TP) realizaron ejercicio profesional afin a contenido por 24meses o más</t>
  </si>
  <si>
    <t>"=100%"</t>
  </si>
  <si>
    <t>IND3 1 3ETC</t>
  </si>
  <si>
    <t>3.2.1 TPD</t>
  </si>
  <si>
    <t xml:space="preserve">Titularidad de profesores TC y MT </t>
  </si>
  <si>
    <t>Al menos el 30% TC y MT son titulares por concurso</t>
  </si>
  <si>
    <t>&gt;=30%</t>
  </si>
  <si>
    <t>IND3 1 4EMP</t>
  </si>
  <si>
    <t>3.2.2 CHS</t>
  </si>
  <si>
    <t xml:space="preserve">Carga horaria semanal de los profesores TC </t>
  </si>
  <si>
    <t>Hasta 18 horas clase semanal</t>
  </si>
  <si>
    <t>&lt;=18</t>
  </si>
  <si>
    <t>Organización y Desarrollo</t>
  </si>
  <si>
    <t>IND3 2 1TDP</t>
  </si>
  <si>
    <t>3.2.3 EDP</t>
  </si>
  <si>
    <t xml:space="preserve">Evaluación de profesores </t>
  </si>
  <si>
    <t>IND3 2 2CHS</t>
  </si>
  <si>
    <t>3.2.4 FAC</t>
  </si>
  <si>
    <t xml:space="preserve">Formación académica en curso y capacitación </t>
  </si>
  <si>
    <t>IND3 2 3EDP</t>
  </si>
  <si>
    <t>3.3.1 RPM</t>
  </si>
  <si>
    <t xml:space="preserve">Remuneración promedio mensual TC y MT </t>
  </si>
  <si>
    <t>Al menos $ 1100.00</t>
  </si>
  <si>
    <t>&gt;=1100.00</t>
  </si>
  <si>
    <t>IND3 2 4FAC</t>
  </si>
  <si>
    <t>3.3.2 RPH</t>
  </si>
  <si>
    <t xml:space="preserve">Remuneración promedio por hora TP </t>
  </si>
  <si>
    <t>Al menos $ 13.00</t>
  </si>
  <si>
    <t>&gt;=13.00</t>
  </si>
  <si>
    <t>Remuneraciones</t>
  </si>
  <si>
    <t>IND3 3 1RPM</t>
  </si>
  <si>
    <t>4.1.1 PEA</t>
  </si>
  <si>
    <t xml:space="preserve">Programas de estudio de las asignaturas </t>
  </si>
  <si>
    <t>El 100% de los PEA cumplen los requisitos</t>
  </si>
  <si>
    <t>IND3 3 2RPH</t>
  </si>
  <si>
    <t>4.1.2 AFD</t>
  </si>
  <si>
    <t xml:space="preserve">Afinidad formación-docencia </t>
  </si>
  <si>
    <t>El 100% de horas clase impartidas por profesores con título 3er nivel o mayor afín a la asignatura</t>
  </si>
  <si>
    <t>Formación Académica</t>
  </si>
  <si>
    <t>IND4 1 1PEA</t>
  </si>
  <si>
    <t>4.1.3 SPD</t>
  </si>
  <si>
    <t xml:space="preserve">Seguimiento, control y evaluación del proceso docente </t>
  </si>
  <si>
    <t>IND4 1 2AFD</t>
  </si>
  <si>
    <t>4.1.4 CBA</t>
  </si>
  <si>
    <t xml:space="preserve">Asignaturas con cobertura bibliográfica adecuada </t>
  </si>
  <si>
    <t>El 100% de Asignaturas cobertura bibliográfica</t>
  </si>
  <si>
    <t>IND4 1 3SPD</t>
  </si>
  <si>
    <t>4.1.5 PUB</t>
  </si>
  <si>
    <t xml:space="preserve">Publicaciones docentes </t>
  </si>
  <si>
    <t>Al menos 0.6</t>
  </si>
  <si>
    <t>&gt;=0.6</t>
  </si>
  <si>
    <t>IND4 1 4CBA</t>
  </si>
  <si>
    <t>4.1.6 AUL</t>
  </si>
  <si>
    <t xml:space="preserve">Aulas  </t>
  </si>
  <si>
    <t>El 100% de las aulas cumple los requisitos</t>
  </si>
  <si>
    <t>Satisfactorio</t>
  </si>
  <si>
    <t>IND4 1 5PUB</t>
  </si>
  <si>
    <t>4.1.7 FCO</t>
  </si>
  <si>
    <t xml:space="preserve">Formación complementaria </t>
  </si>
  <si>
    <t>Cuasi-satisfactorio</t>
  </si>
  <si>
    <t>IND4 1 6AUL</t>
  </si>
  <si>
    <t>4.1.8 APE</t>
  </si>
  <si>
    <t xml:space="preserve">Acompañamiento pedagógico a estudiantes </t>
  </si>
  <si>
    <t>Poco Satisfactorio</t>
  </si>
  <si>
    <t>IND4 1 7FCO</t>
  </si>
  <si>
    <t>4.1.9 RCG</t>
  </si>
  <si>
    <t xml:space="preserve">Relación con los graduados </t>
  </si>
  <si>
    <t>Deficiente</t>
  </si>
  <si>
    <t>IND4 1 8APE</t>
  </si>
  <si>
    <t xml:space="preserve">Entorno virtual de aprendizaje  </t>
  </si>
  <si>
    <t>IND4 1 9RCG</t>
  </si>
  <si>
    <t>4.2.2 IEA</t>
  </si>
  <si>
    <t xml:space="preserve">Informatización en el aprendizaje </t>
  </si>
  <si>
    <t>Informatización del Proceso de Enseñanza</t>
  </si>
  <si>
    <t>IND4 2 1EVA</t>
  </si>
  <si>
    <t>4.3.1 EAD</t>
  </si>
  <si>
    <t xml:space="preserve">Educación ambiental y desarrollo sostenible </t>
  </si>
  <si>
    <t>IND4 2 2IEA</t>
  </si>
  <si>
    <t>4.3.2 VHB</t>
  </si>
  <si>
    <t xml:space="preserve">Formación en valores y desarrollo de habilidades blandas </t>
  </si>
  <si>
    <t>Formación Ciudadana</t>
  </si>
  <si>
    <t>IND4 3 1EAD</t>
  </si>
  <si>
    <t>4.4.1 FPA</t>
  </si>
  <si>
    <t xml:space="preserve">Formación práctica en el entorno académico </t>
  </si>
  <si>
    <t>IND4 3 2VHB</t>
  </si>
  <si>
    <t>4.4.2 FPL</t>
  </si>
  <si>
    <t xml:space="preserve">Formación práctica en el entorno laboral real </t>
  </si>
  <si>
    <t>Formación Práctica</t>
  </si>
  <si>
    <t>IND4 4 1FPA</t>
  </si>
  <si>
    <t xml:space="preserve">Funcionamiento de la biblioteca </t>
  </si>
  <si>
    <t>IND4 4 2FPL</t>
  </si>
  <si>
    <t>4.5.2 BAC</t>
  </si>
  <si>
    <t xml:space="preserve">Acervo de la biblioteca y relación de la biblioteca con las asignaturas y carreras </t>
  </si>
  <si>
    <t>Biblioteca</t>
  </si>
  <si>
    <t>IND4 5 1BIB</t>
  </si>
  <si>
    <t>5.1.1 IYD</t>
  </si>
  <si>
    <t xml:space="preserve">Investigación y desarrollo </t>
  </si>
  <si>
    <t>IND4 5 2BAC</t>
  </si>
  <si>
    <t>5.1.2PCT</t>
  </si>
  <si>
    <t xml:space="preserve">Publicaciones y eventos científicos y técnicos </t>
  </si>
  <si>
    <t>Al menos 0.5</t>
  </si>
  <si>
    <t>&gt;=0.5</t>
  </si>
  <si>
    <t>I+D y Publicaciones Científicas y Técnicas</t>
  </si>
  <si>
    <t>IND5 1 1IYD</t>
  </si>
  <si>
    <t>5.2.1 ICA</t>
  </si>
  <si>
    <t xml:space="preserve">Innovación y capacidad de absorción </t>
  </si>
  <si>
    <t>IND5 1 2PCT</t>
  </si>
  <si>
    <t xml:space="preserve">Planificación y ejecución de la vinculación con la sociedad  </t>
  </si>
  <si>
    <t>Innovación</t>
  </si>
  <si>
    <t>IND5 2 1ICA</t>
  </si>
  <si>
    <t xml:space="preserve">Presencia de la institución en la comunidad </t>
  </si>
  <si>
    <t>Planificación y Ejecución de la Vinculación</t>
  </si>
  <si>
    <t>IND6 1 1PEV</t>
  </si>
  <si>
    <t>Presencia en la Comunidad</t>
  </si>
  <si>
    <t>IND6 2 1PIC</t>
  </si>
  <si>
    <t>No se cuenta con la normativa interna formal (reglamento, estatuto o manual de procedimientos aprobado por la instancia superior) que cumpla con los siguientes requisitos del elemento fundamental:
Establecer los Procedimientos: No se evidencia el documento que defina formalmente los pasos, la metodología y los requisitos para la elaboración y actualización de la planificación.
Normar el Control y Evaluación: No se presenta la normativa que establezca la periodicidad fija y los métodos específicos para el seguimiento, control y evaluación del PEDI y el POA.
Definir la Participación: No se norma el mecanismo formal y obligatorio para la participación de los diferentes actores en el proceso de planificación institucional.
En resumen, aunque el INTEC tiene planificación, carece de la evidencia de la norma legal interna que rige ese sistema de planificación, control y evaluación, lo cual es la exigencia central de este elemento fundamental.</t>
  </si>
  <si>
    <t>En primer lugar, la planificación incorpora el aporte de actores relevantes del entorno. El PEDI incluye el Análisis Situacional (página 7), que abarca el contexto económico y los cambios en el país, y se complementa con un análisis de la Macro Legal (página 8). Esto indica que la institución consideró factores externos como el contexto productivo, la empleabilidad y la demanda para definir su estrategia.
En segundo lugar, se evidencia la participación de actores institucionales relevantes. El diagnóstico del PEDI menciona que su diseño se basó en estudios de actores involucrados y análisis de percepción. Específicamente, se presenta el análisis de Autoevaluación Institucional (página 8), el cual es el resultado directo de la participación interna. Este proceso asegura que la estrategia institucional sea un reflejo de las perspectivas y necesidades de las diferentes dependencias y estamentos que conforman la comunidad del INTEC.</t>
  </si>
  <si>
    <t>La evidencia contenida en el PEDI 2023-2028 demuestra la pertinencia de la planificación al estar sustentada en un diagnóstico que refleja la realidad del entorno y las necesidades de transformación:
En primer lugar, la pertinencia con la realidad del entorno se evidencia en el Análisis Situacional (página 7), el cual aborda el contexto económico del país, los estudios de empleabilidad y las tendencias del mercado. Esto garantiza que el PEDI no es un documento genérico, sino que está diseñado para responder a las demandas del ecosistema productivo.
En segundo lugar, la planificación refleja las necesidades de transformación y la capacidad de la institución para actuar sobre ellas. El diagnóstico incluye el análisis de Autoevaluación Institucional (página 8), el cual identifica las fortalezas y debilidades internas. La conexión entre el diagnóstico de debilidades y los Objetivos Estratégicos asegura que la estrategia se enfoque en transformar áreas deficientes para la mejora continua. Por ejemplo, los objetivos suelen apuntar a mejorar la gestión de la investigación, la vinculación y la eficiencia interna, que son precisamente áreas de transformación necesarias en cualquier instituto.
Por lo tanto, la planificación estratégica CUMPLE con la exigencia sustantiva de pertinencia, ya que su diagnóstico vincula la realidad externa (entorno y empleabilidad) con la necesidad de transformación interna de la institución.</t>
  </si>
  <si>
    <t>El PEDI cumple con el elemento fundamental que requiere que la visión y los objetivos estratégicos conformen una propuesta relevante de desarrollo académico en el sentido más amplio, cuyo logro exija la acción coherente de todos los actores. La Visión del INTEC (página 2 del POA y página 53 del PEDI) de "Ser reconocidos como la institución de educación superior que aporta positivamente a la sociedad desde la investigación" establece una meta relevante y ambiciosa que supera la simple función docente, abarcando explícitamente la investigación y el impacto social, y es respaldada por una Misión que declara la oferta académica a través de las cuatro funciones sustantivas: docencia, gestión, investigación y vinculación.
Esta propuesta de desarrollo integral se concreta en los Objetivos Estratégicos del PEDI, los cuales se alinean con las funciones sustantivas y las necesidades de transformación identificadas en el diagnóstico. El logro de estos objetivos requiere la acción coordinada, que se materializa en el POA 2025, instrumento que desagrega las metas estratégicas en acciones específicas con asignación de recursos, plazos y responsables. Esta articulación operativa asegura que el esfuerzo planificado involucre y coordine de manera coherente las acciones de autoridades, profesores, trabajadores y, por extensión a través de programas de vinculación, de los estudiantes. Por lo tanto, el contenido del PEDI y la desagregación en el POA demuestran el cumplimiento sustantivo de este elemento fundamental.</t>
  </si>
  <si>
    <t>El PEDI cumple con el elemento fundamental ya que se demuestra al establecer una secuencia lógica y vinculante entre los componentes del plan. Por un lado, la Misión oferta las carreras a través de las cuatro funciones sustantivas y la Visión se enfoca a ser reconocidos por el aporte a la sociedad desde la investigación; ambas están directamente alineadas con los hallazgos del diagnóstico, el cual identifica tanto las fortalezas a mantener como las debilidades y oportunidades de mejora del entorno. Esta relación garantiza que los Objetivos Estratégicos no son metas aisladas, sino que se enfocan en superar las carencias internas y aprovechar las oportunidades externas detectadas. A su vez, el cumplimiento de estos objetivos, al fortalecer la investigación, la vinculación y la gestión interna, está diseñado para garantizar directamente la consecución de la Visión institucional. Por consiguiente, la estructura del PEDI evidencia la correspondencia exigida entre el diagnóstico, los fines institucionales y las metas planteadas.</t>
  </si>
  <si>
    <t>El PEDI cumple sustantivamente con la exigencia de orientar el desarrollo estratégico de las funciones. La Misión del INTEC declara expresamente el desarrollo de las cuatro funciones sustantivas que son docencia, gestión, investigación y vinculación, y la Visión orienta el desarrollo institucional a ser reconocido por el aporte a la sociedad desde la investigación. Los Objetivos Estratégicos del PEDI están estructurados de forma congruente para abordar cada una de estas áreas, asegurando que la estrategia institucional sea integral y no se limite a la docencia.
Respecto al requisito de establecer los niveles de progreso anuales, si bien el PEDI mismo establece los objetivos a largo plazo, el POA 2025 es el instrumento que cumple con esta función. El POA desagrega los Objetivos Estratégicos en Objetivos de Corto Plazo (OC) y Actividades concretas, asignando a cada una un indicador de cumplimiento, un plazo definido (con fechas específicas) y un presupuesto asociado. Esta desagregación temporal y cuantitativa demuestra el mecanismo mediante el cual el INTEC ha establecido los niveles de progreso anuales requeridos para la ejecución y seguimiento de su estrategia a largo plazo.</t>
  </si>
  <si>
    <t>La articulación entre ambos documentos se evidencia en la estructura metodológica del POA: cada acción operativa está vinculada jerárquicamente a la estrategia. El POA no contiene actividades sueltas, sino que desagrega los Objetivos Estratégicos (OE) y los Objetivos de Corto Plazo (OC) del PEDI en tareas específicas. Esta vinculación asegura que el cumplimiento de las actividades detalladas en el POA, como por ejemplo: la gestión de admisiones o la promoción de tutorías, está directamente orientado a alcanzar el progreso anual requerido por los objetivos estratégicos establecidos a largo plazo en el PEDI. Al especificar para cada actividad un plazo, un indicador de cumplimiento y un presupuesto presente en el POA, el documento operacional se convierte en el mecanismo que garantiza que se alcancen los niveles de progreso previstos para el año 2025 dentro del marco estratégico 2023-2028.</t>
  </si>
  <si>
    <t>El POA cumple con ser la guía operativa del trabajo cotidiano de la institución, ya que detalla actividades específicas, como "Incorporar un CRM para mejorar la gestión del equipo de admisiones" o "Promover espacios de tutorías a estudiantes", las cuales corresponden directamente a las tareas diarias y los proyectos a corto plazo de las diferentes unidades. Al asignar fechas de inicio y fin, responsables específicos y recursos a cada una, el POA transforma la estrategia institucional en una lista de tareas concretas a ser ejecutadas y gestionadas diariamente. 
Sin embargo, el cumplimiento de la segunda parte del elemento fundamental que indica que el control se realice "con la periodicidad establecida en la normativa citada" y a efectos de tomar acciones correctivas, no se puede corroborar, debido a que no se cuenta con la normativa formal que establezca los plazos fijos (mensuales, trimestrales, etc.) y los procedimientos para el control y la toma de acciones correctivas, no es posible asegurar que el cumplimiento del POA se controle de manera sistemática y formal como lo requiere el modelo de evaluación.
Por lo tanto, el POA CUMPLE en su función de ser la guía operativa, pero NO CUMPLE en demostrar que su control y evaluación están regidos por una normativa formal y que se garantice la periodicidad y las acciones correctivas exigidas.</t>
  </si>
  <si>
    <t xml:space="preserve">No se cuenta con un mecanismo formal y operativo para sustentar la necesidad de modificar el PEDI o el POA ante errores o nuevas exigencias de calidad; autorizar dichos cambios por la instancia competente; y registrar formalmente las modificaciones. </t>
  </si>
  <si>
    <t xml:space="preserve">No se cuenta con evidencia de la publicación de los documentos en la web institucional para garantizar la accesibilidad pública; los mecanismos de divulgación formal (manuales, resoluciones de socialización, etc.) que aseguren que la Misión y la Visión son apropiadamente conocidas por la comunidad; y los informes de seguimiento o cumplimiento del POA que demuestren que los integrantes conocen cómo marcha su cumplimiento. </t>
  </si>
  <si>
    <t>No se carga evidencia que responda a este elemento fundamental</t>
  </si>
  <si>
    <t xml:space="preserve">Entrevista </t>
  </si>
  <si>
    <t xml:space="preserve">Plan Estratégico de Desarrollo Institucional (PEDI) 2023-2028: Documento central de estrategia. </t>
  </si>
  <si>
    <t xml:space="preserve">Plan Estratégico de Desarrollo Institucional (PEDI) 2023-2028: Documento central de estrategia. No cuenta con firmas de responsabilidad ni fecha de aprobación visible.
Plan Operativo Anual (POA) 2025: Instrumento de desagregación de la estrategia. No cuenta con firmas de responsabilidad ni fecha de emisión visible.
</t>
  </si>
  <si>
    <t xml:space="preserve">Plan Operativo Anual (POA) 2025: Instrumento de desagregación de la estrategia. No cuenta con firmas de responsabilidad ni fecha de emisión visible.
</t>
  </si>
  <si>
    <t xml:space="preserve">Plan Estratégico de Desarrollo Institucional (PEDI) 2023-2028: Documento central de estrategia. 
</t>
  </si>
  <si>
    <t xml:space="preserve">Plan Estratégico de Desarrollo Institucional (PEDI) 2023-2028: Documento central de estrategia. No cuenta con firmas de responsabilidad ni fecha de aprobación visible.
Plan Operativo Anual (POA) 2025. 
</t>
  </si>
  <si>
    <t>Ocho Acuerdos Marco y un Convenio Específico de Prácticas Pre Profesionales.</t>
  </si>
  <si>
    <t>No se cuenta con un documento que establezca la planificación específica de las relaciones interinstitucionales que contenga al menos: objetivos, procedimientos, participantes y cronograma de ejecución,para demostrar la gestión de proyectos, innovación, o capacitación especializada, debidamente aprobado y vigente. Los Acuerdos Marco por sí mismos solo establecen la intención, no la planificación de las acciones concretas.</t>
  </si>
  <si>
    <t>No se cuenta con la Normativa Interna (Reglamento o Manual de Procedimientos) sobre la gestión de las relaciones interinstitucionales, debidamente aprobada y vigente, que defina claramente objetivos, procedimientos, actores y dependencia institucional a cargo.</t>
  </si>
  <si>
    <t>No se cuenta con el Sustento Documental (informe de análisis o diagnóstico) que justifique la coherencia y pertinencia de la elección de cada contraparte y de las acciones a realizar, con base en una necesidad institucional diagnosticada y la capacidad de absorción del Instituto.</t>
  </si>
  <si>
    <t>Se presenta como evidencia 9 convenios (8 Acuerdos Marco y 1 Convenio Específico), de los cuales 7 su objetivo principal es "el fomento académico e intercambio de experiencias en los campos de la docencia, la investigación, la cooperación al desarrollo y la cultura en general, así como, para la realización de prácticas profesionales y desarrollo de proyectos de  vinculación, proyectos académicos, desarrollo de carreras, dentro de aquellas áreas en las cuales ambas entidades tengan interés manifiesto, con el fin de aunar esfuerzos para potenciar la capacitación de ambas instituciones", y 2 con enfoque para prácticas preprofesionales, cumpliendo con la exigencia de formalización mediante diversos instrumentos.</t>
  </si>
  <si>
    <t>El Instituto carece de informes de ejecución y resultados y de listas de participantes certificadas que permitan al responsable institucional y a los participantes sustentar la efectividad de las acciones, los procedimientos empleados y los resultados obtenidos.
Adicionalmente, no se han realizado verificaciones in situ con la finalidad de asegurar que los representante de cada área conozca como está normado y como funciona el proceso de planificación dentro de la dependencia a su cargo.</t>
  </si>
  <si>
    <t>No se cuenta con la Lista Certificada de profesores o estudiantes que hayan participado en acciones de movilidad (diferentes a las prácticas pre profesionales obligatorias), ni con los informes que demuestren los resultados satisfactorios de dichas actividades.</t>
  </si>
  <si>
    <t>Acuerdo Marco UNIR</t>
  </si>
  <si>
    <t>Aunque existe la formalización de un Acuerdo Marco con institución extranjera (UNIR), no se ha cargado la planificación específica de actividades ni los informes de ejecución que demuestren el cumplimiento satisfactorio de los objetivos de acciones concretas realizadas con la institución extranjera.</t>
  </si>
  <si>
    <t>Si bien se cuenta con convenios formalizados, no se cuenta con informes de gestión o de cierre (Evidencia 6) que demuestren el cumplimiento satisfactorio de los objetivos planteados en cada convenio específico, ni que se pueda cuantificar el aporte significativo al desarrollo institucional.</t>
  </si>
  <si>
    <t>No se cuenta con un normativa de aseguramiento de la calidad aprobada y vigente dentro del periodo de autoevaluación, que contenga al menos: objetivos, estructura, actores, procedimientos de trabajo, incluidos los procedimientos para el desarrollo de la autoevaluación en todas sus fases y la dependencia institucional a cargo del Aseguramiento Interno de la Calidad.</t>
  </si>
  <si>
    <t>No se ha realizado acciones de divulgación de la existencia, objetivos, procedimientos y actores del Aseguramiento Interno de la Calidad (AIC). Por lo cua, no se cuenta con  evidencias documentales (fotos, capturas web, material informativo) que demuestren la labor de divulgación sobre el AIC a la comunidad educativa dentro del período evaluado.</t>
  </si>
  <si>
    <t>Planificación y Actas del SAC: 4 actas de reuniones del comité de autoevaluación</t>
  </si>
  <si>
    <t>Se presenta evidencia de la Planificación del proceso de Autoevaluación y la conformación del comité mediante actas está fechada en el segundo semestre de 2025 (agosto y septiembre). Sin embargo, estas fechas son posteriores al límite de evaluación (primer semestre del 2025), por lo que no se puuede demuestrar la planificación y ejecución dentro del período.</t>
  </si>
  <si>
    <t>Si bien el Plan Estratégico de Desarrollo Institucional (PEDI 2023 - 2028) demuestra que la planificación estratégica se basa en un proceso de Autoevaluación/Diagnóstico participativo (Análisis FODA), y las acciones correctivas y de perfeccionamiento generadas a partir de este diagnóstico están formalmente incorporadas en el POA INTEC 2025 mediante sus Objetivos y actividades, no se cuenta con un documento formal, informe o acta que demuestre la divulgación o comunicación explícita y periódica de los resultados finales de la Autoevaluación o Diagnóstico Institucional a la totalidad de la comunidad educativa.</t>
  </si>
  <si>
    <t>Certificados de Aprobación sobre el "Modelo de Evaluación Externa 2024" para el Rector (Jaime Ortega) y otros actores (Héctor López, Roberto Castro) con fecha de 28 de febrero de 2025.</t>
  </si>
  <si>
    <t>Los actores institucionales clave del AIC se han capacitado sobre el Modelo de Evaluación Externa del CACES, el cual se evidenicia en los certificados obtenidos en febrero de 2025. Los certificados de "Curso de Autoevaluación" de agosto de 2025 están fuera del período de autoevaluación.</t>
  </si>
  <si>
    <t>No se carga evidencia documental (procedimientos de acompañamiento, relatorías o informes) que demuestre la ejecución de la función de acompañamiento y asistencia a las dependencias por parte de los actores del AIC.</t>
  </si>
  <si>
    <t>No se cuenta con un Reglamento del Sistema Informático de Gestión (SIG) debidamente aprobado y vigente, que contenda al menos los objetivos, la entidad responsable, los deberes de los usuarios, las normas de funcionamiento y el régimen sancionatorio que rige el uso del sistema.</t>
  </si>
  <si>
    <t>No se cuenta con documentación que permita constatar la existencia ni la operatividad de un módulo o funcionalidad específica dentro del SIG dedicado a la Autoevaluación Institucional (AIC) que permita la carga, valoración y el cálculo automatizado de los indicadores del Modelo de Evaluación a nivel institucional o de carrera, lo que impide demostrar la satisfacción de las exigencias informativas completas del AIC o su flexibilidad para adaptarse a las especificidades de las carreras.</t>
  </si>
  <si>
    <t>Se evidencia que el SIG permite la realización de trámites y gestiones de manera remota y digital, contribuyendo a la reducción de desplazamientos, errores e impresiones. La funcionalidad de trámites remotos está probada por el sistema centralizado de Tickets (soporte administrativo/técnico con trazabilidad y reportes) y por la gestión del Aula Virtual y Plataformas Estudiantiles (acceso a notas, materiales y simuladores). Específicamente, el Manual de Uso en Celular del Aula Virtual confirma la accesibilidad móvil para la interacción académica (descarga de archivos, rendición de cuestionarios), demostrando una reducción sustancial en la necesidad de impresiones. Sin embargo, a pesar que se cuenta con evidencia que es principalmente funcional-descriptiva (manuales) y no se cuenta con Reportes de Gestión de Trámites que verifiquen la reducción efectiva y cuantificable en el tiempo de respuesta de los trámites o la disminución de errores en los procesos administrativos y académicos más allá de las funcionalidades de trazabilidad del sistema de tickets.</t>
  </si>
  <si>
    <t xml:space="preserve">Manual del uso del sistema académico para docentes 
Manual del uso del teams para docentes 
Manual del uso de las plataformas para estudiantes homologación 
Manual del uso de las plataformas para estudiantes regular 
Manual de gestión documental 
Manual de gestión de tickets </t>
  </si>
  <si>
    <t>Se evidencia que el Sistema Informático de Gestión (SIG), a través de sus componentes, permite la organización, control y evaluación de las funciones sustantivas y los procesos administrativos, lo que intrínsecamente contribuye a la disminución de tiempos y errores. Específicamente, el Sistema Académico y las Plataformas Estudiantiles prueban el apoyo directo a la función de Docencia (gestión de notas, materiales, evaluaciones), mientras que el Manual de Gestión Documental y el Manual de Tickets demuestran el apoyo a la organización y control administrativo mediante un repositorio estructurado (con carpetas para Investigación y Vinculación) y un sistema de trazabilidad de solicitudes. Sin embargo, la evidencia es principalmente descriptiva (manuales) y no incluye informes que cuantifiquen la disminución real de los tiempos de ejecución o errores en los procesos de Investigación y Vinculación con la Sociedad, lo que limitaría la constatación de la optimización efectiva.</t>
  </si>
  <si>
    <t>Manual de Gestión Documental</t>
  </si>
  <si>
    <t xml:space="preserve"> Se cuenta con el Manual de Gestión Documental, el cual describe el uso de Microsoft SharePoint como un repositorio estructurado y funcional para la gestión académica y administrativa. No obstante, no se cuenta con evidencia formal, certificación o declaración institucional que demuestre que la herramienta de gestión documental implementada cumple con los estándares internacionales correspondientes (como normas ISO de gestión documental o seguridad).</t>
  </si>
  <si>
    <t>Manual de uso del sistema académico para docentes.
Manual de gestión documental.
Manual de uso del TEAMS para docentes.
Manual uso plataformas estudiantes homologación.
Manual uso plataformas estudiantes regulares
Manual de gestión de tickets
Manual del uso del aula virtual para docentes regular
Manual del uso del aula virtual para docentes homologación
Manual de uso en celular del aula virtual para estudiantes</t>
  </si>
  <si>
    <t>Se cuenta con manuales de usuario que, en conjunto, cumplen con el requisito de facilitar la interacción de la comunidad con el Sistema Informático de Gestión (SIG) y sus herramientas asociadas. Se presenta documentación para el Sistema Académico, el Sistema de Gestión Documental (SharePoint), la gestión de soporte (Tickets), y, de manera exhaustiva, para la Aula Virtual/LMS, cubriendo la operación para docentes (regular y homologación) y estudiantes. Adicionalmente, el "Manual de Uso en Celular del Aula Virtual para Estudiantes" funciona explícitamente como un recurso didáctico adicional y facilita la interacción móvil, satisfaciendo la totalidad de lo requerido.</t>
  </si>
  <si>
    <t>No se cuenta con evidencia como programas de estudio, registros de asistencia con firmas, o certificados/notas de aprobación de cursos obligatorios/MOOC, que demuestren que los usuarios (docentes, estudiantes y empleados) han sido adecuadamente y obligatoriamente capacitados en el uso del SIG y sus componentes.</t>
  </si>
  <si>
    <t>Manual de gestión documental.
Manual de gestión de tickets</t>
  </si>
  <si>
    <t>Se cuenta con la existencia de mecanismos de seguridad para el uso de las plataformas, principalmente a través de la descripción de la gestión de acceso y control, mismo que se establece en el Manual de Gestión Documental y el de Tickets, en el que se demuestran la implementación de control de accesos, roles y permisos mediante la plataforma SharePoint, asegurando la integridad de los datos por medio del historial de versiones y la trazabilidad de los cambios. Sin embargo, se cuenta con un Informe de Seguridad, una Política de Seguridad de la Información o un Plan de Copias de Seguridad formalmente documentado que demuestren su uso efectivo en áreas críticas como protocolos de contingencia o backups fuera del ecosistema del proveedor.</t>
  </si>
  <si>
    <t>Plan de Igualdad 2023-2026
Reglamento de Becas y Ayudas Económicas</t>
  </si>
  <si>
    <t>Se cuenta con el Plan de Igualdad 2023-2026, aprobado por el Consejo Transitorio el 04 de diciembre de 2023, el cual establece objetivos y ejes estratégicos para la igualdad de oportunidades, no violencia ni discriminación. Adicionalmente, se cuenta con el Reglamento de Becas y Ayudas Económicas, el cual regula los procedimientos de otorgamiento de becas, una de las principales acciones afirmativas, y establece la Igualdad de oportunidades como principio general. Ambos documentos definen el marco normativo, objetivos y procedimientos para las acciones afirmativas.</t>
  </si>
  <si>
    <t>No se carga evidencia que responda a este elemento fundamental.</t>
  </si>
  <si>
    <t>No se cuenta con evidencias de la divulgación en la web institucional y del conocimiento por la comunidad educativa. Se requiere una captura de pantalla o URL que demuestre la publicación de la normativa de acción afirmativa o del Plan de Igualdad en la web institucional, así como los registros de entrevistas a miembros de la comunidad educativa que corroboren el conocimiento de la misma.</t>
  </si>
  <si>
    <t xml:space="preserve">Reglamento de Becas y Ayudas Económicas
Contratos de Beca Complementaria (Futuro Femenino)
</t>
  </si>
  <si>
    <t>Se cuenta con el Reglamento de Becas y Ayudas Económicas y documentos de ejecución como el Contrato de Beca Complementaria, que demuestran la existencia y ejecución de acciones afirmativas (becas de rendimiento, ayuda económica, etc.). Sin embargo, no se cuenta con el resultado del cálculo del indicador cuantitativo de sustento (Estudiantes beneficiados por acciones afirmativas). Para justificar plenamente el cumplimiento, se requiere un Informe certificado que contenga el resultado del cálculo del indicador cuantitativo de sustento, que permita evaluar la intensidad de las acciones en relación con las necesidades.</t>
  </si>
  <si>
    <t>Plan de Igualdad 2023-2026
Contratos de Beca Complementaria (Futuro Femenino)</t>
  </si>
  <si>
    <t>Se cuenta con el Plan de Igualdad 2023-2026, que define un eje estratégico para la no violencia y no abuso hacia las mujeres; y Contratos de Beca Complementaria dentro del programa "FUTURO FEMENINO" (73 becas), lo que demuestra acciones afirmativas específicas para mujeres. Sin embargo, se requiere tres comparaciones de indicadores cuantitativos específicos sobre profesoras en cargos de dirección y capacitación. Para justificar plenamente el cumplimiento, se requiere la Lista certificada de profesores cuyo máximo título es un grado universitario y el Informe certificado con el resultado del cálculo de los indicadores cuantitativos de sustento, datos con los que no se cuenta.</t>
  </si>
  <si>
    <t>Plan de Igualdad 2023-2026
Informe sobre diagnóstico institucional Plan de Igualdad</t>
  </si>
  <si>
    <t>Se cuenta con el Plan de Igualdad 2023-2026 y el Informe sobre diagnóstico institucional Plan de Igualdad, que establecen las líneas de acción y el objetivo de sensibilizar a la comunidad educativa para evitar la discriminación y promover la igualdad. Sin embargo, no se cuenta con la evidencia de la ejecución sistemática de estas actividades, mismas que deben plasmarse en un planificación de las acciones educativas, informes de cumplimiento de esas actividades y el material explícito (publicidad impresa o digital).</t>
  </si>
  <si>
    <t>No se cuenta con la evidencia Código de ética de la institución formalmente aprobada que consolide las normas generales, las reglas sobre las relaciones profesor-estudiante, las disposiciones para la prevención y corrección de la deshonestidad académica (fraude y plagio), y las normas que regulan la composición y funcionamiento del Comité de Ética.</t>
  </si>
  <si>
    <t>Informes de Gestión
PEDI 2023-2028</t>
  </si>
  <si>
    <t>No se cuenta con evidencia que demuestre la divulgación de las normas de ética o del código institucional. Se cuenta con los Informes de Gestión y el Plan Estratégico de Desarrollo Institucional (PEDI) hacen referencia a la conducta ética como parte de la misión y visión, sin embargo, no se han proporcionado documentos específicos como actas de capacitación o inducción a estudiantes y profesores sobre las normas éticas, ni capturas de pantalla de la página web institucional que evidencien la publicación de la normativa.</t>
  </si>
  <si>
    <t>No se cuenta con el Acta de Conformación del Comité de Ética, el Plan de Trabajo Anual y las Actas de Sesiones, donde se constate la creación y funcionamiento de este órgano, así como, para justificar el cumplimiento de actividades, conocimiento, reflexión, alerta y educación sobre temas de ética institucional.</t>
  </si>
  <si>
    <t>Informes de Rendición de Cuentas (2023 y 2024)
Resolución No. 007-OCS-INTEC-2025
Informes de Encuesta de Satisfacción Estudiantil y Percepción Empresarial</t>
  </si>
  <si>
    <t>Se cuenta con los Informes de Rendición de Cuentas (2023 y 2024), la Resolución No. 007-OCS-INTEC-2025 que aprueba y ordena la remisión de dicho informe al CES, y los Informes de Encuesta de Satisfacción Estudiantil y Percepción Empresarial como insumos de transparencia; no obstante, no se cuenta con el documento específico (metodología, convocatoria o acta) que formalice la ejecución del mecanismo público de participación de la comunidad institucional y la sociedad, que es la documentación formal de la Audiencia Pública o el registro de la participación directa en el proceso de rendición.</t>
  </si>
  <si>
    <t>Rendición de Cuentas A diciembre 2024
RESOLUCIÓN No.007-OCS-INTEC-2025
Rendición de Cuentas A diciembre 2023
RESOLUCIÓN No.012-CT-INTEC-2024</t>
  </si>
  <si>
    <t>Se cuenta con los informes de Rendición de Cuentas a diciembre 2023 y a diciembre 2024.pdf, y las respectivas actas de aprobación representadas por resolución No.012-CT-INTEC-2024 y No.007-OCS-INTEC-2025, respectivamente, lo que prueba el cumplimiento anual de la obligación de rendición de cuentas.</t>
  </si>
  <si>
    <t>No se cuenta con captación de información sobre opiniones de la comunidad del entorno, noticias de la prensa local, etc., para recopilar información externa que valide la imagen pública y la ausencia de cuestionamientos fundados sobre la ética y transparencia de la institución.</t>
  </si>
  <si>
    <t>Se cuenta con documentos parciales de funcionamiento como RESOLUCIÓN No.012-CT-INTEC-2024 y RESOLUCIÓN No.007-OCS-INTEC-2025, pero no se cuenta con el juego completo de Actas de las sesiones ordinarias y extraordinarias del Órgano Colegiado Superior para verificar el cumplimiento integral de las normas, ni con las entrevistas a miembros de la comunidad educativa para confirmar el ambiente de libertad de expresión.</t>
  </si>
  <si>
    <t>No se cuenta con la Certificación del instituto en la que se haga constar que no se han recibido sanciones administrativas ejecutoriadas contra la institución por cuestiones que tienen que ver con el comportamiento ético de esta en los ámbitos indicados, documento que debe presentarse para probar formalmente la inexistencia de sanciones ejecutoriadas.</t>
  </si>
  <si>
    <t>No se cuenta con las Evidencias de las acciones preventivas y correctivas de la deshonestidad académica, que incluyen documentos como normas internas, código de ética de investigación, y actas de procesos disciplinarios. Adicionalmente, se requiere presentar las Evidencias de la divulgación del código de ética y de la labor educativa desarrollada al respecto para complementar la acción preventiva.</t>
  </si>
  <si>
    <t>Se cuenta con los informes de Rendición de Cuentas, pero no se cuenta con un documento del link de la página web de la institución y capturas de pantalla del mismo para verificar la publicación y accesibilidad de todos los documentos e informes requeridos en el sitio web institucional.</t>
  </si>
  <si>
    <t>El elemento será verificado durante la visita in situ</t>
  </si>
  <si>
    <t>No se cuenta con los documentos con la propuesta pedagógica de la institución, que es el documento formal requerido para demostrar la incorporación explícita del bienestar psicológico en el modelo educativo troncal. Aunque el PLAN DE IGUALDAD 2023-2026 y el Informe sobre diagnóstico institucional Plan de Igualdad aluden a ejes estratégicos de bienestar, no sustituyen la Propuesta Pedagógica en sí misma.</t>
  </si>
  <si>
    <t>Informe de Encuesta de Satisfacción Estudiantil VCC</t>
  </si>
  <si>
    <t>Se cuenta con el Informe de Encuesta de Satisfacción Estudiantil VCC, el cual proporciona evidencia cuantitativa sobre la apreciación general de los estudiantes. Sin embargo, no se cuenta con la captación de información sobre apreciaciones de los integrantes de la comunidad educativa, la cual debe presentarse para complementar la encuesta mediante entrevistas o grupos focales que validen la percepción sobre el desarrollo de fortalezas y el propósito de vida. (visita in situ)</t>
  </si>
  <si>
    <t>Informe de Encuesta de Satisfacción Docentes INTEC</t>
  </si>
  <si>
    <t>Se cuenta con el Informe de Encuesta de Satisfacción Docentes INTEC, que ofrece evidencia cuantitativa sobre la satisfacción del claustro. No obstante, no se cuenta con la captación de información sobre apreciaciones de los integrantes de la comunidad educativa, la cual debe presentarse para complementar la encuesta con entrevistas o grupos focales que confirmen el ambiente de trabajo saludable y el trato respetuoso por parte de las autoridades.  (visita in situ)</t>
  </si>
  <si>
    <t>Videos: Charla. Cuidando nuestra salud mental claves para el bienestar académico y personal; Grabación de la reunión de Invitación a Charla Cultura institucional basada en el respeto y la igualdad; Invitación a Charla Admisiones inclusivas y sin barreras; Invitación a Charla Admisiones inclusivas y sin barreras; Invitación a Charla Diversidad y acceso equitativo a la educación construyendo una comunidad inclusiva; Liderazgo con Equidad Formando Representantes que Inspiran; 2 videos de Reunión en General.</t>
  </si>
  <si>
    <t>Se cuenta con evidencias de la ejecución de los programas de intervención positiva a través de los videos anexos, como por ejemplo: la charla de "Cuidando nuestra salud mental claves para el bienestar académico y personal". Sin embargo, no se cuenta con un documento de los proyectos de intervención basados en la psicología positiva con los componentes y requisitos indicados en la descripción, que son necesarios para demostrar el diseño formal, la fundamentación científica y la planificación estructurada de  estos programas.</t>
  </si>
  <si>
    <t>Informe de Encuesta de Satisfacción Docentes INTEC
Informe de Encuesta de Satisfacción Estudiantil VCC</t>
  </si>
  <si>
    <t>No se cuenta con un Informe de evaluación de resultados de los programas de intervención basada en la psicología positiva, que es el documento que debe presentarse para demostrar la medición de la efectividad de las acciones realizadas. Los informes de encuestas de satisfacción anexados (Informe de Encuesta de Satisfacción Docentes INTEC e Informe de Encuesta de Satisfacción Estudiantil VCC) no son sustitutos directos de una evaluación de resultados específica del programa.</t>
  </si>
  <si>
    <t xml:space="preserve">No se cuenta con un Reglamento de higiene y seguridad ni un Plan de emergencias aprobados y vigentes. </t>
  </si>
  <si>
    <t>No se cuenta con una Matriz de Riesgos que es la evidencia técnica fundamental para demostrar que el Instituto ha llevado a cabo formalmente las acciones de identificación, medición, evaluación y control de los riesgos laborales a los que están expuestos sus usuarios.</t>
  </si>
  <si>
    <t>No se cuenta con un registro de capacitaciones (planificación, asistencias o material didáctico) que acredite la formación obligatoria y sistemática de profesores, estudiantes y trabajadores sobre riesgos laborales, emergencias y desastres, impidiendo constatar el conocimiento de riesgos y responsabilidades.</t>
  </si>
  <si>
    <t>No se cuenta con un inventario o documentación de recursos (personal especializado, equipamiento de emergencia, insumos) que acredite la capacidad preventiva de la institución. Tampoco se presenta evidencia formal (registros, planificación o videos) que compruebe la realización de simulacros de evacuación para hacer frente a emergencias y desastres, como exige este elemento fundamental.</t>
  </si>
  <si>
    <t>No se cuenta con un registro de inspecciones de seguridad documentado y fechado. Este elemento requiere que el Instituto demuestre, mediante registros formales, la periodicidad de la verificación de equipos de seguridad (extintores, luces de emergencia) y la infraestructura. Sin estos registros, no es posible constatar la labor de inspección y la adopción de medidas correctivas.</t>
  </si>
  <si>
    <t>No se cuenta con la documentación del servicio de enfermería/médico o el convenio formal de prestación de servicios con entidades cercanas, lo cual es la evidencia principal para este elemento. Tampoco se presenta un inventario o evidencia fotográfica del botiquín de primeros auxilios para verificar que se hayan creado las condiciones necesarias para la atención de problemas menores de salud.</t>
  </si>
  <si>
    <t>Anexo 2. Informe Ampliado de Instalaciones INTEC-signed.pdf</t>
  </si>
  <si>
    <t>No se cuenta con un plan o documentación de condiciones de higiene específicas como por ejemplo protocolos de desinfección, planos con puntos de desinfección, lavamanos adecuados; ni la evidencia de la labor divulgativa (cartelería, comunicaciones). Aunque el Informe de Instalaciones describe el número de baterías higiénicas, esta evidencia es insuficiente, ya que no comprueba la disponibilidad adecuada de insumos de higiene (jabón, papel) ni la campaña educativa requerida.</t>
  </si>
  <si>
    <t>Se cuenta con el Informe Ampliado de Instalaciones, el cual menciona la existencia de espacios abiertos con zonas verdes. Sin embargo, no se cuenta con un plan, política o documentación divulgativa que demuestre una estrategia institucional para promover el estilo de vida saludable (ej. política de alimentación o campaña educativa sobre estilos de vida). La simple mención de espacios físicos es insuficiente para constatar la labor activa y divulgativa requerida.</t>
  </si>
  <si>
    <r>
      <t xml:space="preserve">No se cuenta con evidencia documental que indique que el Instituto produzca alimentos u otros artículos para consumo interno y/o externo. </t>
    </r>
    <r>
      <rPr>
        <sz val="11"/>
        <color theme="1"/>
        <rFont val="Aptos Narrow"/>
        <family val="2"/>
        <scheme val="minor"/>
      </rPr>
      <t>En caso de que sí lo haga, se requerirían registros sanitarios y documentación de cumplimiento de estándares. Por el momento, este elemento se considera No Aplicable o No Comprobable por falta de evidencia de la actividad misma.</t>
    </r>
  </si>
  <si>
    <t>No se cuenta con una documentación técnica de accesibilidad o informe de verificación que demuestre el cumplimiento de la normativa para personas con discapacidad (física y sensorial). El Informe de Instalaciones describe las áreas generales, pero no confirma la existencia o especificaciones técnicas de elementos clave como rampas, ascensores, señalética en Braille, servicios higiénicos accesibles y exclusivos, o estacionamientos específicos.</t>
  </si>
  <si>
    <t>Se cuenta con el Informe Ampliado de Instalaciones que reporta el número de baterías higiénicas, lo cual sugiere suficiencia en cantidad. Sin embargo, no se cuenta con un reporte de inspección o verificación que constate que todos los componentes estén operativos, tengan excelente limpieza, y que dispongan permanentemente de los insumos básicos obligatorios (jabón, papel higiénico, toallas de mano) de manera constante.</t>
  </si>
  <si>
    <t>El Informe Ampliado de Instalaciones no describe ni presenta imágenes de un área física formal destinada al servicio de cafetería o expendio de alimentos. Por lo tanto, al no existir un área destinada para esta actividad, la documentación exigida por este elemento (permisos sanitarios, licencias, estándares higiénicos) no se presenta ni es aplicable actualmente. En caso que se contemple destinar un área para esta actividad a futuro, se realizará la presentación de la documentación que acredite los permisos vigentes para el funcionamiento, el cumplimiento de los altos estándares higiénicos en la conservación y manipulación de alimentos, y la existencia de espacios para el consumo con acceso a lavamanos con jabón.</t>
  </si>
  <si>
    <t>El Informe Ampliado de Instalaciones menciona la existencia de espacios abiertos con zonas verdes. Sin embargo, no se cuenta con un reporte o acta de verificación que demuestre formalmente que estas áreas son suficientes, que tienen un mantenimiento adecuado y que su limpieza es la requerida, ni que cumplen con el criterio de ser atractivas y diversas para los estudiantes.</t>
  </si>
  <si>
    <t>No se cuenta con la Normativa interna, aprobada y vigente, enmarcada en las normas nacionales, para la selección de los profesores que contenga al menos, los objetivos del proceso, los atributos de calidad del perfil docente, los procedimientos paso a paso, los actores responsables y la dependencia institucional a cargo.</t>
  </si>
  <si>
    <t>tres carpetas de docentes contratados</t>
  </si>
  <si>
    <t>Se cuenta con tres carpetas de docentes con documentación como hojas de vida y respaldos académics, videos de clase demostrativas, evaluación de la clase demostrativa, etc. Sin embargo, no se cuenta con las evidencias de la divulgación pública de los procesos de selección (capturas o registro de su publicación en la web institucional, prensa u otros medios públicos, para cada proceso de selección), lo cual impide validar que el concurso estuvo abierto a los mejores candidatos externos. Adicionalmente, actas de la comisión de evaluación y selección que resuma la aplicación de los instrumentos de evaluación (méritos y oposición), contenga la calificación final obtenida por el candidato y esté firmada por todos los miembros de la comisión y el informe de calificación final de recursos humanos o la dependencia responsable, que avale el puntaje total obtenido y la recomendación de contratación.</t>
  </si>
  <si>
    <t>Informe_Tecnico_Moodle-signed</t>
  </si>
  <si>
    <t>Se cuenta con el Informe Técnico de la Plataforma Académica Moodle versión 4.3.3, sin fecha de emisión, firmado por el Director de Tecnología. Se confirma que el Instituto utiliza la plataforma Moodle, que es descrita como una solución robusta y flexible para la gestión de cursos, interacción, evaluación y seguimiento académico. Respecto al requerimiento de accesibilidad 24/7, el informe técnico detalla las especificaciones del servidor alojado en Hetzner, el cual incluye "Soporte: Protección DDoS y soporte telefónico 24/7", que justifica la disponibilidad continua del servicio.</t>
  </si>
  <si>
    <t>No se cuenta con la evidencia Normativa aprobada y vigente sobre el Entorno Virtual de Aprendizaje (EVA) que detalle de manera obligatoria, aspectos como los objetivos del EVA, la identificación del responsable de su administración, los lineamientos generales para su uso y diseño, las políticas de seguridad, la gestión de recursos y almacenamiento, las actividades de soporte a usuarios (profesores y estudiantes), y las normas específicas para su utilización por parte de toda la comunidad educativa.</t>
  </si>
  <si>
    <t>No se cuenta con la evidencia directa de Estadísticas de uso del EVA, por lo que no es posible verificar el uso cotidiano y la efectividad de la interacción sincrónica y asincrónica.</t>
  </si>
  <si>
    <t xml:space="preserve">Informe_Tecnico_Moodle-signed
Aula Virtual para Estudiantes en Teléfono (1)-signed
Manual Uso PLATAFORMAS ESTUDIANTES HOMOLOGACIÓN (1)-signed
Manual Uso PLATAFORMAS ESTUDIANTES REGULARES (2)-signed
</t>
  </si>
  <si>
    <t>Se cuenta con el Informe Técnico de la Plataforma Académica Moodle versión 4.3.3, sin fecha de emisión, firmado por el Director de Tecnología, y los siguientes manuales de uso para estudiantes: Manual Uso Plataformas Estudiantes Homologación, Manual Uso Plataformas Estudiantes Regulares, y Aula Virtual para Estudiantes en Teléfono, sin fechas de emisión, aprobados por el Vicerrector Académico General. El Informe Técnico confirma que la plataforma Moodle está diseñada para que los docentes suban diversos recursos como archivos, páginas web y videos para enriquecer los cursos, además de facilitar actividades como tareas, cuestionarios y foros. Los manuales de uso, refuerza la justificación, al demostrar que la institución ha documentado y comunicado formalmente a los estudiantes los procesos para acceder a los materiales y utilizar las herramientas de evaluación y colaboración dentro del EVA, lo que evidencia la operatividad de estas funcionalidades.</t>
  </si>
  <si>
    <t>PEDI INTEC 2023-2028</t>
  </si>
  <si>
    <t>No se cuenta con la evidencia específica que demuestre formalmente la adaptación del diseño del EVA a las necesidades institucionales. El Organigrama incluido en el PEDI es una evidencia parcial de la organización académica; sin embargo, no se cuenta con la evidencia que es un Informe Ejecutivo o de Diseño del EVA que explique técnicamente cómo la configuración de la plataforma (estructura de cursos, roles de usuario, etc.) se alineó con las modalidades de estudio, el modelo educativo y las estrategias de enseñanza del Instituto.</t>
  </si>
  <si>
    <t>No se cuenta con un Informe de Estadísticas de Uso del EVA aprobado por la autoridad competente, que demuestre la actividad constante de los profesores y estudiantes en la plataforma a lo largo del periodo académico (incluyendo métricas de acceso, tiempo promedio de sesión y participación en actividades).</t>
  </si>
  <si>
    <t>No se cuenta con un Manual de Funciones aprobado por la autoridad competente, que demuestre que el responsable del EVA (sea una persona o una unidad) tenga asignadas las funciones específicas de administración de acceso y control de usuarios, soporte técnico, y garantía de actualización y operatividad del Entorno Virtual de Aprendizaje. Esto a pesar que en el informe técnico de la plataforma académica moodle esté firmado por el director de tecnología, infiriéndose como un responsable nominal del área técnica, pero es indispensable que exista el documento en donde esta responsabilidad sea establecida de manera tácita.</t>
  </si>
  <si>
    <t>Informe_Tecnico_Moodle
Aula Virtual para Estudiantes en Teléfono
Manual Uso PLATAFORMAS ESTUDIANTES HOMOLOGACIÓN
Manual Uso PLATAFORMAS ESTUDIANTES REGULARES
AULA VIRTUAL DOCENTES HOMOLOGACIÓN
AULA VIRTUAL DOCENTES REGULAR
Manual de Uso del SISTEMA ACADÉMICO para Docentes
Manual de Uso del TEAMS para Docentes
Video Instructivo INTEC- Nuevas Aulas Virtuales
Reunión de Inducción - Programa Regular - 3 de julio 2025
Sesión de Inducción - Programa de Homologación - Junio 2025</t>
  </si>
  <si>
    <t>Se cuenta con un informe técnico, los manuales de uso para estudiantes y docentes, así como la referencia a los videos de inducción (Video Instructivo INTEC- Nuevas Aulas Virtuales, Reunión de Inducción - Programa Regular, y Sesión de Inducción - Programa de Homologación) que instruyen a la comunidad educativa sobre el uso e ingreso a la plataforma, cumpliendo la función de material de capacitación. Sin embargo, no se cuenta con un Manual o Procedimiento de soporte técnico a usuarios del EVA aprobado por la autoridad competente que formalice y describa los canales de ayuda oficiales para reportar y solucionar problemas o inconvenientes de acceso, operatividad o funcionamiento (Soporte Técnico), y que además defina los tiempos de respuesta y el alcance de la asistencia ofrecida a los usuarios.</t>
  </si>
  <si>
    <t>No se cuenta con la Normativa interna aprobada y vigente de la gestión de la biblioteca (o su equivalente en manual de procesos que sustituya la normativa), documento que debe presentarse para demostrar la existencia de un marco regulatorio formal y actualizado que rija la administración y operación de la biblioteca.</t>
  </si>
  <si>
    <t>No se cuenta con las evidencias de las actividades de formación de usuarios realizadas por la biblioteca, que deben incluir documentos de planificación e informes de ejecución o entrevistas a estudiantes, necesarios para probar la realización sistemática y planificada de las capacitaciones.(visita in situ)</t>
  </si>
  <si>
    <t>No se cuenta con las Evidencias de las actividades de difusión de la biblioteca, que deben incluir los documentos de planificación e informes de ejecución, ni con las Entrevistas a personal que labora en la biblioteca y a usuarios de la misma para evaluar la relevancia y el impacto de estas acciones.  (visita in situ)</t>
  </si>
  <si>
    <t>Se cuenta con el manual repositorio, el cual documenta la existencia, el funcionamiento y el acceso remoto del sistema informático y del repositorio digital (Link de acceso: http://5.161.116.158/default.htm). Sin embargo, no se cuenta con la verificación del sistema informático de gestión en pleno funcionamiento y su utilización por profesores y estudiantes, que es la evidencia requerida para confirmar la operatividad y la eficacia de su uso por la comunidad. (visita in situ)</t>
  </si>
  <si>
    <t>Libros Físicos INTEC
Manual repositorio</t>
  </si>
  <si>
    <t>Se cuenta con los documentos Libros Físicos INTEC, que contiene los campos Área de Conocimiento, Sub Área de Conocimiento y Área Específica de Conocimiento y el Manual repositorio, que en conjunto evidencian la existencia de los registros con sus campos de indización por contenido para la incorporación de las referencias bibliográficas tanto físicas como digitales en el sistema.</t>
  </si>
  <si>
    <t>No se cuenta con los Registros de los visitantes a la sala de lectura de la biblioteca, ni con la Lista certificada de los estudiantes por modalidad de estudio, ambos documentos necesarios para calcular el indicador cuantitativo de utilización y sustentar la asiduidad del uso de la biblioteca.</t>
  </si>
  <si>
    <t>No se cuenta con evidencias que demuestren la preparación específica del personal técnico que atiende la biblioteca, que deben incluir títulos registrados en la SENESCYT y certificados de cursos y capacitaciones, documentos que deben presentarse para validar la idoneidad y especialización del personal.</t>
  </si>
  <si>
    <t>No se cuenta con un documento de verificación de las condiciones de la biblioteca, ni con una lista certificada de los estudiantes por modalidad de estudio, evidencias requeridas para constatar la adecuación física de los espacios y realizar el cálculo del indicador "Número de estudiantes por puesto de trabajo".</t>
  </si>
  <si>
    <r>
      <t>Manual repositorio</t>
    </r>
    <r>
      <rPr>
        <sz val="11"/>
        <color theme="1"/>
        <rFont val="Aptos Narrow"/>
        <scheme val="minor"/>
      </rPr>
      <t xml:space="preserve"> </t>
    </r>
  </si>
  <si>
    <t>Programa de Vinculación Conectando con la Comunidad</t>
  </si>
  <si>
    <t>No se cuenta con una normativa interna, aprobada y vigente, de vinculación con la sociedad, que es el documento formal requerido para demostrar el marco regulatorio institucional que establece la estructura y los procedimientos de la función sustantiva, si bien el Programa de Vinculación Conectando con la Comunidad contiene una sección de Base Legal y describe una estructura específica para el programa aprobado, no obstante, no sustituye la normativa interna general.</t>
  </si>
  <si>
    <t>PEDI INTEC 2023 - 2028
POA INTEC 2025
Programa de Vinculación Conectando con la Comunidad</t>
  </si>
  <si>
    <t>Se cuenta con la planificación estratégica de la actividad de vinculación con la sociedad, ya que se ha presentado el PEDI INTEC 2023 - 2028 que establece la visión estratégica, y se cuenta con la planificación operativa a través del POA INTEC 2025, lo que demuestra que la actividad de vinculación está articulada apropiadamente con la planificación institucional. Adicionalmente, se cuenta con el Programa de Vinculación Conectando con la Comunidad aprobado, el cual es un plan operativo detallado y coherente con el PEDI.</t>
  </si>
  <si>
    <t>Se cuenta con el documento de Programa de Vinculación Conectando con la Comunidad, que demuestra la existencia de un programa formal de vinculación con la sociedad que liga los proyectos, sin embargo, no se cuenta con los Documentos de los proyectos de vinculación con la sociedad ejecutados o en ejecución detallados bajo este programa, los cuales son necesarios para verificar que la planificación operativa se compone de proyectos específicos y que estos cumplen con todos los requisitos del indicador.</t>
  </si>
  <si>
    <t>PEDI INTEC 2023 - 2028
Informe de Encuesta de Percepción Empresarial VCC</t>
  </si>
  <si>
    <t>Se cuenta con el PEDI INTEC 2023 - 2028 que incluye una sección de Diagnóstico que sustenta la planificación de la vinculación con la sociedad, y se cuenta con el Informe de Encuesta de Percepción Empresarial VCC que proporciona información valiosa sobre la percepción del entorno y las demandas sociales, sin embargo, no se cuenta con la documentación explícita de los procedimientos utilizados en el diagnóstico ni con las evidencias del diagnóstico participativo con actores externos que demuestren la participación de los beneficiarios en la construcción del PEDI para sustentar las demandas sociales y la incorporación de innovaciones.</t>
  </si>
  <si>
    <t>Se cuenta con el documento de planificación a nivel de programa llamado "Programa de Vinculación Conectando con la Comunidad", el cual tiene una estructura formal con componentes básicos como justificación y objetivos, sin embargo, no se cuenta con los documentos de los proyectos de vinculación con la sociedad ejecutados o en ejecución que son los documentos detallados que deben ser evaluados para confirmar que contienen los componentes básicos requeridos por la descripción del indicador.</t>
  </si>
  <si>
    <t>POA INTEC 2025</t>
  </si>
  <si>
    <t>Se cuenta con evidencia de la planificación de la ejecución en el POA INTEC 2025, que establece el marco temporal y operativo, sin embargo, no se cuenta con evidencias del seguimiento, control y evaluación de la ejecución de los proyectos de vinculación con la sociedad, es decir, los informes formales que deben demostrar el cumplimiento de objetivos, el seguimiento y la evaluación rigurosa del proceso de los proyectos.</t>
  </si>
  <si>
    <t>No se cuenta con las Entrevistas a estudiantes y profesores involucrados en programas y proyectos de vinculación con la sociedad, que son la evidencia directa requerida para que los responsables demuestren su conocimiento y sustento de la planificación y expliquen el estado de la ejecución.</t>
  </si>
  <si>
    <t>No se cuenta con una lista certificada de los estudiantes por modalidad de estudio ni la lista de profesores equivalentes, las cuales son necesarias para el cálculo de los indicadores cuantitativos de sustento requeridos para evaluar la intensidad del accionar de vinculación.</t>
  </si>
  <si>
    <t>No se cuenta con evidencias de que tanto la planificación, como los resultados han sido difundidos y debatidos, ni con actas de reuniones o entrevistas a beneficiarios, las cuales deben presentarse para demostrar la difusión de la planificación y resultados en la comunidad académica y la participación de los beneficiarios externos en la construcción y valoración.</t>
  </si>
  <si>
    <t>No se cuenta con planes de aprendizaje de los estudiantes participantes en los proyectos con su evaluación, los cuales demuestren el seguimiento y evaluación del plan de aprendizaje individualizado para cada estudiante, así como, el cómo fue planteado y el avance del mismo.</t>
  </si>
  <si>
    <t>No se cuenta con evidencias del acceso de la comunidad a espacios institucionales (registros de usuarios, solicitudes de uso, etc.) que demuestren que la institución pone sus espacios físicos y/o virtuales de trabajo a disposición de la comunidad externa de manera sistemática, ya que las evidencias presentadas se centran en la participación de la institución en eventos externos, y no en la cesión de espacios propios.</t>
  </si>
  <si>
    <t>Informe de participación en la vida social y cultural de su entorno
Informe de participación en eventos</t>
  </si>
  <si>
    <t>Se cuenta con evidencias de las actividades sociales y culturales en las que ha participado y que ha organizado la institución, a través del documento "Informe de participación en la vida social y cultural de su entorno", el cual detalla la participación del instituto en eventos como: el IV Certamen Internacional de Tunas Summer 2025 en Colombia, exposiciones de arte en la Pontificia Universidad Católica PUCE, y el Evento REENCONTRARTE en la Casa de la Cultura Ecuatoriana, etc. Adicionalmente, el documento "Informe de participación en eventos" que documenta ferias y eventos, evidencia que la institución participa regularmente en la vida social y cultural de su entorno y organiza actividades, demostrando su participación activa en la vida comunitaria.</t>
  </si>
  <si>
    <t>Informe de participación en eventos</t>
  </si>
  <si>
    <t>Se cuenta con evidencias de las acciones para contribuir al desarrollo de intereses profesionales en estudiantes de bachillerato y jóvenes egresados, a través del documento "Informe de participación en eventos", el cual documenta la participación del instituto en ferias universitarias y eventos educativos, tales como la Feria en Aseguradora del Sur, la Feria de Universidades e Institutos del Colegio Juan Montalvo, la Expo Educa 2025 del GAD Rumiñahui, y la participación en la Unidad Educativa Fiscal San Francisco. Estas actividades, que incluyen la difusión de la oferta académica y la generación de becas, demuestran acciones orientadas a informar y fomentar el desarrollo de intereses profesionales afines a sus carreras en la población objetivo.</t>
  </si>
  <si>
    <t>INSTITUTO SUPERIOR TECNOLÓGICO DE TÉCNICAS EMPRESARIALES Y DEL CONOCIMIENTO</t>
  </si>
  <si>
    <t>Calle Isla Seymour N44-91 y Av. Río Coca</t>
  </si>
  <si>
    <t>Héctor Alejandro López Paredes</t>
  </si>
  <si>
    <t>Durante la visita in situ se puede evidenciar el cumplimiento del indicador y el conocimiento del responsable.</t>
  </si>
  <si>
    <t>Nombre</t>
  </si>
  <si>
    <t>Area</t>
  </si>
  <si>
    <t>Participantes</t>
  </si>
  <si>
    <t>firmas</t>
  </si>
  <si>
    <t>tema de la reunion</t>
  </si>
  <si>
    <t>Revision del sistema SIG</t>
  </si>
  <si>
    <t>Tecnologia</t>
  </si>
  <si>
    <t>fecha</t>
  </si>
  <si>
    <t>detalles</t>
  </si>
  <si>
    <t>fabricio borja</t>
  </si>
  <si>
    <t>fernando osorio</t>
  </si>
  <si>
    <t>Hector lopez</t>
  </si>
  <si>
    <t>fecha de la proxima revision</t>
  </si>
  <si>
    <t>tentativa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</si>
</sst>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_-* #,##0.00_-;\-* #,##0.00_-;_-* &quot;-&quot;??_-;_-@_-"/>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Cambria"/>
      <family val="1"/>
    </font>
    <font>
      <sz val="10"/>
      <color rgb="FFFF0000"/>
      <name val="Cambria"/>
      <family val="1"/>
    </font>
    <font>
      <b/>
      <sz val="10"/>
      <color rgb="FF000000"/>
      <name val="Cambria"/>
      <family val="1"/>
    </font>
    <font>
      <sz val="16"/>
      <color theme="1"/>
      <name val="Aptos Narrow"/>
      <family val="2"/>
      <scheme val="minor"/>
    </font>
    <font>
      <sz val="24"/>
      <color theme="1"/>
      <name val="Aptos Narrow"/>
      <family val="2"/>
      <scheme val="minor"/>
    </font>
    <font>
      <b/>
      <sz val="16"/>
      <color theme="1"/>
      <name val="Aptos Narrow"/>
      <family val="2"/>
      <scheme val="minor"/>
    </font>
    <font>
      <b/>
      <sz val="18"/>
      <color theme="1"/>
      <name val="Aptos Narrow"/>
      <family val="2"/>
      <scheme val="minor"/>
    </font>
    <font>
      <b/>
      <sz val="20"/>
      <color theme="1"/>
      <name val="Aptos Narrow"/>
      <family val="2"/>
      <scheme val="minor"/>
    </font>
    <font>
      <b/>
      <sz val="14"/>
      <color theme="1"/>
      <name val="Aptos Narrow"/>
      <family val="2"/>
      <scheme val="minor"/>
    </font>
    <font>
      <sz val="12"/>
      <color theme="1"/>
      <name val="Aptos Narrow"/>
      <family val="2"/>
      <scheme val="minor"/>
    </font>
    <font>
      <b/>
      <sz val="12"/>
      <color theme="1"/>
      <name val="Aptos Narrow"/>
      <family val="2"/>
      <scheme val="minor"/>
    </font>
    <font>
      <b/>
      <sz val="18"/>
      <name val="Aptos Narrow"/>
      <family val="2"/>
      <scheme val="minor"/>
    </font>
    <font>
      <b/>
      <sz val="18"/>
      <color theme="0"/>
      <name val="Aptos Narrow"/>
      <family val="2"/>
      <scheme val="minor"/>
    </font>
    <font>
      <sz val="11"/>
      <color theme="1"/>
      <name val="Aptos"/>
      <family val="2"/>
    </font>
    <font>
      <b/>
      <sz val="16"/>
      <color rgb="FFFF0000"/>
      <name val="Aptos Narrow"/>
      <family val="2"/>
      <scheme val="minor"/>
    </font>
    <font>
      <sz val="11"/>
      <color theme="1"/>
      <name val="Aptos Narrow"/>
      <scheme val="minor"/>
    </font>
  </fonts>
  <fills count="24">
    <fill>
      <patternFill patternType="none"/>
    </fill>
    <fill>
      <patternFill patternType="gray125"/>
    </fill>
    <fill>
      <patternFill patternType="solid">
        <fgColor rgb="FFE2EFD9"/>
        <bgColor indexed="64"/>
      </patternFill>
    </fill>
    <fill>
      <patternFill patternType="solid">
        <fgColor rgb="FFFFF2CC"/>
        <bgColor indexed="64"/>
      </patternFill>
    </fill>
    <fill>
      <patternFill patternType="solid">
        <fgColor theme="4"/>
        <bgColor indexed="64"/>
      </patternFill>
    </fill>
    <fill>
      <patternFill patternType="solid">
        <fgColor rgb="FFD9E2F3"/>
        <bgColor indexed="64"/>
      </patternFill>
    </fill>
    <fill>
      <patternFill patternType="solid">
        <fgColor theme="6" tint="0.59999389629810485"/>
        <bgColor indexed="64"/>
      </patternFill>
    </fill>
    <fill>
      <patternFill patternType="solid">
        <fgColor rgb="FFFBE4D5"/>
        <bgColor indexed="64"/>
      </patternFill>
    </fill>
    <fill>
      <patternFill patternType="solid">
        <fgColor rgb="FFFFFF00"/>
        <bgColor indexed="64"/>
      </patternFill>
    </fill>
    <fill>
      <patternFill patternType="solid">
        <fgColor rgb="FFCCFFFF"/>
        <bgColor indexed="64"/>
      </patternFill>
    </fill>
    <fill>
      <patternFill patternType="solid">
        <fgColor rgb="FFD5DCE4"/>
        <bgColor indexed="64"/>
      </patternFill>
    </fill>
    <fill>
      <patternFill patternType="solid">
        <fgColor rgb="FFBDD6EE"/>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rgb="FF00B050"/>
        <bgColor indexed="64"/>
      </patternFill>
    </fill>
    <fill>
      <patternFill patternType="solid">
        <fgColor theme="7" tint="0.79998168889431442"/>
        <bgColor indexed="64"/>
      </patternFill>
    </fill>
    <fill>
      <patternFill patternType="solid">
        <fgColor theme="7"/>
        <bgColor indexed="64"/>
      </patternFill>
    </fill>
    <fill>
      <patternFill patternType="solid">
        <fgColor theme="8"/>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bgColor indexed="64"/>
      </patternFill>
    </fill>
  </fills>
  <borders count="27">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indexed="64"/>
      </left>
      <right/>
      <top/>
      <bottom/>
      <diagonal/>
    </border>
    <border>
      <left/>
      <right style="medium">
        <color indexed="64"/>
      </right>
      <top/>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22">
    <xf numFmtId="0" fontId="0" fillId="0" borderId="0" xfId="0"/>
    <xf numFmtId="10" fontId="3" fillId="0" borderId="1" xfId="0" applyNumberFormat="1" applyFont="1" applyBorder="1" applyAlignment="1">
      <alignment horizontal="center" vertical="center" wrapText="1"/>
    </xf>
    <xf numFmtId="10" fontId="3" fillId="0" borderId="2" xfId="0" applyNumberFormat="1" applyFont="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justify" vertical="center" wrapText="1"/>
    </xf>
    <xf numFmtId="0" fontId="3" fillId="2" borderId="2" xfId="0" applyFont="1" applyFill="1" applyBorder="1" applyAlignment="1">
      <alignment horizontal="justify" vertical="center" wrapText="1"/>
    </xf>
    <xf numFmtId="10" fontId="0" fillId="0" borderId="3" xfId="1" applyNumberFormat="1" applyFont="1" applyBorder="1"/>
    <xf numFmtId="0" fontId="0" fillId="0" borderId="3" xfId="0" applyBorder="1"/>
    <xf numFmtId="2" fontId="0" fillId="0" borderId="3" xfId="0" applyNumberFormat="1" applyBorder="1"/>
    <xf numFmtId="10" fontId="0" fillId="0" borderId="3" xfId="0" applyNumberFormat="1" applyBorder="1" applyAlignment="1">
      <alignment wrapText="1"/>
    </xf>
    <xf numFmtId="0" fontId="0" fillId="0" borderId="0" xfId="0" applyAlignment="1">
      <alignment wrapText="1"/>
    </xf>
    <xf numFmtId="9" fontId="0" fillId="0" borderId="0" xfId="0" applyNumberFormat="1"/>
    <xf numFmtId="10" fontId="0" fillId="0" borderId="3" xfId="1" applyNumberFormat="1" applyFont="1" applyBorder="1" applyAlignment="1">
      <alignment horizontal="center" vertical="center"/>
    </xf>
    <xf numFmtId="2" fontId="0" fillId="0" borderId="3" xfId="0" applyNumberFormat="1" applyBorder="1" applyAlignment="1">
      <alignment horizontal="center" vertical="center"/>
    </xf>
    <xf numFmtId="10" fontId="4" fillId="0" borderId="1" xfId="0" applyNumberFormat="1" applyFont="1" applyBorder="1" applyAlignment="1">
      <alignment horizontal="center" vertic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justify" vertical="center" wrapText="1"/>
    </xf>
    <xf numFmtId="10" fontId="3" fillId="0" borderId="4" xfId="0" applyNumberFormat="1" applyFont="1" applyBorder="1" applyAlignment="1">
      <alignment horizontal="center" vertical="center" wrapText="1"/>
    </xf>
    <xf numFmtId="10" fontId="3" fillId="0" borderId="3" xfId="0" applyNumberFormat="1" applyFont="1" applyBorder="1" applyAlignment="1">
      <alignment horizontal="center" vertical="center" wrapText="1"/>
    </xf>
    <xf numFmtId="0" fontId="3" fillId="3" borderId="4" xfId="0" applyFont="1" applyFill="1" applyBorder="1" applyAlignment="1">
      <alignment horizontal="left" vertical="center" wrapText="1"/>
    </xf>
    <xf numFmtId="0" fontId="3" fillId="3" borderId="4" xfId="0" applyFont="1" applyFill="1" applyBorder="1" applyAlignment="1">
      <alignment horizontal="justify" vertical="center" wrapText="1"/>
    </xf>
    <xf numFmtId="0" fontId="3" fillId="3" borderId="3"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justify" vertical="center" wrapText="1"/>
    </xf>
    <xf numFmtId="0" fontId="3" fillId="3" borderId="2" xfId="0" applyFont="1" applyFill="1" applyBorder="1" applyAlignment="1">
      <alignment horizontal="justify" vertical="center" wrapText="1"/>
    </xf>
    <xf numFmtId="10" fontId="4" fillId="0" borderId="4" xfId="0" applyNumberFormat="1" applyFont="1" applyBorder="1" applyAlignment="1">
      <alignment horizontal="center" vertical="center" wrapText="1"/>
    </xf>
    <xf numFmtId="0" fontId="4" fillId="4" borderId="4" xfId="0" applyFont="1" applyFill="1" applyBorder="1" applyAlignment="1">
      <alignment horizontal="left" vertical="center" wrapText="1"/>
    </xf>
    <xf numFmtId="0" fontId="4" fillId="4" borderId="3" xfId="0" applyFont="1" applyFill="1" applyBorder="1" applyAlignment="1">
      <alignment horizontal="justify" vertical="center" wrapText="1"/>
    </xf>
    <xf numFmtId="0" fontId="3" fillId="4" borderId="3" xfId="0" applyFont="1" applyFill="1" applyBorder="1" applyAlignment="1">
      <alignment horizontal="justify"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justify"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justify" vertical="center" wrapText="1"/>
    </xf>
    <xf numFmtId="0" fontId="3" fillId="5" borderId="2" xfId="0" applyFont="1" applyFill="1" applyBorder="1" applyAlignment="1">
      <alignment horizontal="justify" vertical="center" wrapText="1"/>
    </xf>
    <xf numFmtId="0" fontId="4" fillId="4" borderId="1" xfId="0" applyFont="1" applyFill="1" applyBorder="1" applyAlignment="1">
      <alignment horizontal="left" vertical="center" wrapText="1"/>
    </xf>
    <xf numFmtId="0" fontId="4" fillId="4" borderId="2" xfId="0" applyFont="1" applyFill="1" applyBorder="1" applyAlignment="1">
      <alignment horizontal="justify" vertical="center" wrapText="1"/>
    </xf>
    <xf numFmtId="0" fontId="3" fillId="4" borderId="2" xfId="0" applyFont="1" applyFill="1" applyBorder="1" applyAlignment="1">
      <alignment horizontal="justify"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2" xfId="0" applyFont="1" applyFill="1" applyBorder="1" applyAlignment="1">
      <alignment horizontal="justify" vertical="center" wrapText="1"/>
    </xf>
    <xf numFmtId="0" fontId="3" fillId="6" borderId="2" xfId="0" applyFont="1" applyFill="1" applyBorder="1" applyAlignment="1">
      <alignment horizontal="justify" vertical="center" wrapText="1"/>
    </xf>
    <xf numFmtId="8" fontId="0" fillId="0" borderId="0" xfId="0" applyNumberFormat="1"/>
    <xf numFmtId="9" fontId="3" fillId="5" borderId="1" xfId="0" applyNumberFormat="1"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justify" vertical="center" wrapText="1"/>
    </xf>
    <xf numFmtId="10" fontId="3" fillId="7" borderId="1"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justify" vertical="center" wrapText="1"/>
    </xf>
    <xf numFmtId="0" fontId="3" fillId="9" borderId="2" xfId="0" applyFont="1" applyFill="1" applyBorder="1" applyAlignment="1">
      <alignment horizontal="justify" vertical="center" wrapText="1"/>
    </xf>
    <xf numFmtId="10" fontId="3" fillId="2" borderId="2" xfId="0" applyNumberFormat="1"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9" borderId="2" xfId="0" applyFont="1" applyFill="1" applyBorder="1" applyAlignment="1">
      <alignment horizontal="justify" vertical="center" wrapText="1"/>
    </xf>
    <xf numFmtId="0" fontId="4" fillId="9" borderId="1" xfId="0" applyFont="1" applyFill="1" applyBorder="1" applyAlignment="1">
      <alignment horizontal="justify" vertical="center" wrapText="1"/>
    </xf>
    <xf numFmtId="9" fontId="3" fillId="9" borderId="1" xfId="0" applyNumberFormat="1"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9" borderId="4" xfId="0" applyFont="1" applyFill="1" applyBorder="1" applyAlignment="1">
      <alignment horizontal="left" vertical="center" wrapText="1"/>
    </xf>
    <xf numFmtId="10" fontId="3" fillId="7" borderId="4" xfId="0" applyNumberFormat="1"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9" fontId="3" fillId="9" borderId="4" xfId="0" applyNumberFormat="1" applyFont="1" applyFill="1" applyBorder="1" applyAlignment="1">
      <alignment horizontal="left" vertical="center" wrapText="1"/>
    </xf>
    <xf numFmtId="0" fontId="3" fillId="9" borderId="4" xfId="0" applyFont="1" applyFill="1" applyBorder="1" applyAlignment="1">
      <alignment horizontal="justify" vertical="center" wrapText="1"/>
    </xf>
    <xf numFmtId="0" fontId="3" fillId="9" borderId="3" xfId="0" applyFont="1" applyFill="1" applyBorder="1" applyAlignment="1">
      <alignment horizontal="justify" vertical="center" wrapText="1"/>
    </xf>
    <xf numFmtId="0" fontId="4" fillId="9" borderId="4" xfId="0" applyFont="1" applyFill="1" applyBorder="1" applyAlignment="1">
      <alignment horizontal="left" vertical="center" wrapText="1"/>
    </xf>
    <xf numFmtId="0" fontId="4" fillId="9" borderId="3" xfId="0" applyFont="1" applyFill="1" applyBorder="1" applyAlignment="1">
      <alignment horizontal="justify" vertical="center" wrapText="1"/>
    </xf>
    <xf numFmtId="0" fontId="3" fillId="10" borderId="1" xfId="0" applyFont="1" applyFill="1" applyBorder="1" applyAlignment="1">
      <alignment horizontal="left" vertical="center" wrapText="1"/>
    </xf>
    <xf numFmtId="0" fontId="3" fillId="10" borderId="1" xfId="0" applyFont="1" applyFill="1" applyBorder="1" applyAlignment="1">
      <alignment horizontal="justify" vertical="center" wrapText="1"/>
    </xf>
    <xf numFmtId="0" fontId="3" fillId="10" borderId="2" xfId="0" applyFont="1" applyFill="1" applyBorder="1" applyAlignment="1">
      <alignment horizontal="justify" vertical="center" wrapText="1"/>
    </xf>
    <xf numFmtId="0" fontId="5" fillId="11" borderId="5"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4" fillId="12" borderId="2" xfId="0" applyFont="1" applyFill="1" applyBorder="1" applyAlignment="1">
      <alignment horizontal="justify" vertical="center" wrapText="1"/>
    </xf>
    <xf numFmtId="0" fontId="3" fillId="12" borderId="2" xfId="0" applyFont="1" applyFill="1" applyBorder="1" applyAlignment="1">
      <alignment horizontal="justify" vertical="center" wrapText="1"/>
    </xf>
    <xf numFmtId="0" fontId="3" fillId="10" borderId="2" xfId="0" applyFont="1" applyFill="1" applyBorder="1" applyAlignment="1">
      <alignment horizontal="left" vertical="center" wrapText="1"/>
    </xf>
    <xf numFmtId="0" fontId="5" fillId="11" borderId="6"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5" fillId="11" borderId="7" xfId="0" applyFont="1" applyFill="1" applyBorder="1" applyAlignment="1">
      <alignment horizontal="center" vertical="center" wrapText="1"/>
    </xf>
    <xf numFmtId="0" fontId="0" fillId="0" borderId="6" xfId="0"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3" fillId="12" borderId="2"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2" borderId="9" xfId="0" applyFont="1" applyFill="1" applyBorder="1" applyAlignment="1">
      <alignment horizontal="justify" vertical="center" wrapText="1"/>
    </xf>
    <xf numFmtId="0" fontId="4" fillId="12" borderId="2" xfId="0" applyFont="1" applyFill="1" applyBorder="1" applyAlignment="1">
      <alignment horizontal="left" vertical="center" wrapText="1"/>
    </xf>
    <xf numFmtId="0" fontId="3" fillId="3" borderId="9" xfId="0" applyFont="1" applyFill="1" applyBorder="1" applyAlignment="1">
      <alignment horizontal="justify" vertical="center" wrapText="1"/>
    </xf>
    <xf numFmtId="0" fontId="4" fillId="7" borderId="1" xfId="0" applyFont="1" applyFill="1" applyBorder="1" applyAlignment="1">
      <alignment horizontal="left" vertical="center" wrapText="1"/>
    </xf>
    <xf numFmtId="0" fontId="3" fillId="5" borderId="9" xfId="0" applyFont="1" applyFill="1" applyBorder="1" applyAlignment="1">
      <alignment horizontal="justify" vertical="center" wrapText="1"/>
    </xf>
    <xf numFmtId="0" fontId="3" fillId="9" borderId="9" xfId="0" applyFont="1" applyFill="1" applyBorder="1" applyAlignment="1">
      <alignment horizontal="justify" vertical="center" wrapText="1"/>
    </xf>
    <xf numFmtId="0" fontId="3" fillId="10" borderId="9" xfId="0" applyFont="1" applyFill="1" applyBorder="1" applyAlignment="1">
      <alignment horizontal="left" vertical="center" wrapText="1"/>
    </xf>
    <xf numFmtId="0" fontId="3" fillId="7" borderId="10" xfId="0" applyFont="1" applyFill="1" applyBorder="1" applyAlignment="1">
      <alignment horizontal="left" vertical="center" wrapText="1"/>
    </xf>
    <xf numFmtId="0" fontId="3" fillId="7" borderId="3" xfId="0" applyFont="1" applyFill="1" applyBorder="1" applyAlignment="1">
      <alignment horizontal="left" vertical="center" wrapText="1"/>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 fillId="0" borderId="6" xfId="0" applyFont="1" applyBorder="1" applyAlignment="1">
      <alignment vertical="center"/>
    </xf>
    <xf numFmtId="49" fontId="2" fillId="0" borderId="6" xfId="0" applyNumberFormat="1" applyFont="1" applyBorder="1" applyAlignment="1">
      <alignment horizontal="center" vertical="center"/>
    </xf>
    <xf numFmtId="0" fontId="5" fillId="11" borderId="11" xfId="0" applyFont="1" applyFill="1" applyBorder="1" applyAlignment="1">
      <alignment horizontal="center" vertical="center" wrapText="1"/>
    </xf>
    <xf numFmtId="0" fontId="5" fillId="11" borderId="12" xfId="0" applyFont="1" applyFill="1" applyBorder="1" applyAlignment="1">
      <alignment horizontal="center" vertical="center" wrapText="1"/>
    </xf>
    <xf numFmtId="49" fontId="0" fillId="0" borderId="0" xfId="0" applyNumberFormat="1"/>
    <xf numFmtId="0" fontId="7" fillId="8" borderId="6" xfId="0" applyFont="1" applyFill="1" applyBorder="1" applyAlignment="1">
      <alignment horizontal="center" vertical="center"/>
    </xf>
    <xf numFmtId="0" fontId="4" fillId="7" borderId="3" xfId="0" applyFont="1" applyFill="1" applyBorder="1" applyAlignment="1">
      <alignment horizontal="left" vertical="center" wrapText="1"/>
    </xf>
    <xf numFmtId="49" fontId="2" fillId="0" borderId="0" xfId="0" applyNumberFormat="1" applyFont="1" applyAlignment="1">
      <alignment horizontal="center" vertical="center" wrapText="1"/>
    </xf>
    <xf numFmtId="164" fontId="0" fillId="0" borderId="0" xfId="2" applyFont="1"/>
    <xf numFmtId="0" fontId="9" fillId="13" borderId="13" xfId="0" applyFont="1" applyFill="1" applyBorder="1" applyAlignment="1">
      <alignment horizontal="center" vertical="center"/>
    </xf>
    <xf numFmtId="10" fontId="9" fillId="13" borderId="13" xfId="1" applyNumberFormat="1" applyFont="1" applyFill="1" applyBorder="1" applyAlignment="1">
      <alignment horizontal="center" vertical="center"/>
    </xf>
    <xf numFmtId="0" fontId="11" fillId="13" borderId="14" xfId="0" applyFont="1" applyFill="1" applyBorder="1" applyAlignment="1">
      <alignment horizontal="center" vertical="center"/>
    </xf>
    <xf numFmtId="0" fontId="13" fillId="15" borderId="23" xfId="0" applyFont="1" applyFill="1" applyBorder="1" applyAlignment="1">
      <alignment horizontal="center" vertical="center" wrapText="1"/>
    </xf>
    <xf numFmtId="0" fontId="0" fillId="0" borderId="23" xfId="0"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pplyProtection="1">
      <alignment horizontal="center" vertical="center" wrapText="1"/>
      <protection hidden="1"/>
    </xf>
    <xf numFmtId="0" fontId="0" fillId="0" borderId="0" xfId="0" applyProtection="1">
      <protection hidden="1"/>
    </xf>
    <xf numFmtId="0" fontId="0" fillId="0" borderId="0" xfId="0" applyAlignment="1" applyProtection="1">
      <alignment horizontal="right" vertical="center"/>
      <protection hidden="1"/>
    </xf>
    <xf numFmtId="0" fontId="9" fillId="0" borderId="13" xfId="0" applyFont="1" applyBorder="1" applyAlignment="1">
      <alignment horizontal="center" vertical="center"/>
    </xf>
    <xf numFmtId="0" fontId="11" fillId="0" borderId="14" xfId="0" applyFont="1" applyBorder="1" applyAlignment="1">
      <alignment horizontal="center" vertical="center"/>
    </xf>
    <xf numFmtId="0" fontId="8" fillId="0" borderId="23" xfId="0" applyFont="1" applyBorder="1" applyAlignment="1" applyProtection="1">
      <alignment horizontal="center" vertical="center"/>
      <protection locked="0"/>
    </xf>
    <xf numFmtId="0" fontId="12" fillId="0" borderId="23" xfId="0" applyFont="1" applyBorder="1" applyAlignment="1">
      <alignment horizontal="center" vertical="center"/>
    </xf>
    <xf numFmtId="0" fontId="2" fillId="0" borderId="23" xfId="0" applyFont="1" applyBorder="1" applyAlignment="1">
      <alignment horizontal="center" vertical="center"/>
    </xf>
    <xf numFmtId="0" fontId="12" fillId="0" borderId="0" xfId="0" applyFont="1" applyAlignment="1" applyProtection="1">
      <alignment horizontal="center" vertical="center"/>
      <protection hidden="1"/>
    </xf>
    <xf numFmtId="0" fontId="16" fillId="0" borderId="0" xfId="0" applyFont="1" applyAlignment="1">
      <alignment wrapText="1"/>
    </xf>
    <xf numFmtId="0" fontId="16" fillId="0" borderId="0" xfId="0" applyFont="1" applyAlignment="1">
      <alignment horizontal="justify" vertical="center"/>
    </xf>
    <xf numFmtId="0" fontId="3" fillId="7" borderId="3" xfId="0" applyFont="1" applyFill="1" applyBorder="1" applyAlignment="1" applyProtection="1">
      <alignment horizontal="left" vertical="center" wrapText="1"/>
      <protection hidden="1"/>
    </xf>
    <xf numFmtId="0" fontId="11" fillId="0" borderId="23" xfId="0" applyFont="1" applyBorder="1" applyAlignment="1">
      <alignment horizontal="center" vertical="center" wrapText="1"/>
    </xf>
    <xf numFmtId="0" fontId="11" fillId="13" borderId="23" xfId="0" applyFont="1" applyFill="1" applyBorder="1" applyAlignment="1">
      <alignment horizontal="center" vertical="center" wrapText="1"/>
    </xf>
    <xf numFmtId="0" fontId="11" fillId="13" borderId="23" xfId="0" applyFont="1" applyFill="1" applyBorder="1" applyAlignment="1">
      <alignment horizontal="center" vertical="center"/>
    </xf>
    <xf numFmtId="10" fontId="9" fillId="13" borderId="23" xfId="1" applyNumberFormat="1" applyFont="1" applyFill="1" applyBorder="1" applyAlignment="1">
      <alignment horizontal="center" vertical="center"/>
    </xf>
    <xf numFmtId="0" fontId="11" fillId="0" borderId="23" xfId="0" applyFont="1" applyBorder="1" applyAlignment="1">
      <alignment horizontal="center" vertical="center"/>
    </xf>
    <xf numFmtId="0" fontId="0" fillId="0" borderId="23" xfId="0" applyBorder="1" applyAlignment="1" applyProtection="1">
      <alignment horizontal="left" vertical="top" wrapText="1"/>
      <protection locked="0"/>
    </xf>
    <xf numFmtId="0" fontId="0" fillId="0" borderId="23" xfId="0" applyBorder="1" applyAlignment="1" applyProtection="1">
      <alignment vertical="center" wrapText="1"/>
      <protection locked="0"/>
    </xf>
    <xf numFmtId="0" fontId="8" fillId="0" borderId="23" xfId="0" applyFont="1" applyBorder="1" applyAlignment="1" applyProtection="1">
      <alignment horizontal="center" vertical="center" wrapText="1"/>
      <protection locked="0"/>
    </xf>
    <xf numFmtId="0" fontId="17" fillId="0" borderId="23" xfId="0" applyFont="1" applyBorder="1" applyAlignment="1" applyProtection="1">
      <alignment horizontal="center" vertical="center" wrapText="1"/>
      <protection locked="0"/>
    </xf>
    <xf numFmtId="14" fontId="0" fillId="0" borderId="0" xfId="0" applyNumberFormat="1"/>
    <xf numFmtId="0" fontId="2" fillId="22" borderId="22" xfId="0" applyFont="1" applyFill="1" applyBorder="1" applyAlignment="1">
      <alignment horizontal="left" vertical="center"/>
    </xf>
    <xf numFmtId="0" fontId="2" fillId="22" borderId="21" xfId="0" applyFont="1" applyFill="1" applyBorder="1" applyAlignment="1">
      <alignment horizontal="left" vertical="center"/>
    </xf>
    <xf numFmtId="0" fontId="2" fillId="22" borderId="20" xfId="0" applyFont="1" applyFill="1" applyBorder="1" applyAlignment="1">
      <alignment horizontal="left" vertical="center"/>
    </xf>
    <xf numFmtId="0" fontId="0" fillId="0" borderId="22" xfId="0" applyBorder="1" applyAlignment="1">
      <alignment horizontal="center" wrapText="1"/>
    </xf>
    <xf numFmtId="0" fontId="0" fillId="0" borderId="21" xfId="0" applyBorder="1" applyAlignment="1">
      <alignment horizontal="center" wrapText="1"/>
    </xf>
    <xf numFmtId="0" fontId="0" fillId="0" borderId="20" xfId="0" applyBorder="1" applyAlignment="1">
      <alignment horizontal="center" wrapText="1"/>
    </xf>
    <xf numFmtId="0" fontId="2" fillId="22" borderId="22" xfId="0" applyFont="1" applyFill="1" applyBorder="1" applyAlignment="1">
      <alignment horizontal="left" vertical="center" wrapText="1"/>
    </xf>
    <xf numFmtId="0" fontId="2" fillId="22" borderId="21" xfId="0" applyFont="1" applyFill="1" applyBorder="1" applyAlignment="1">
      <alignment horizontal="left" vertical="center" wrapText="1"/>
    </xf>
    <xf numFmtId="0" fontId="2" fillId="22" borderId="20" xfId="0" applyFont="1" applyFill="1" applyBorder="1" applyAlignment="1">
      <alignment horizontal="left" vertical="center" wrapText="1"/>
    </xf>
    <xf numFmtId="0" fontId="2" fillId="0" borderId="0" xfId="0" applyFont="1" applyAlignment="1" applyProtection="1">
      <alignment horizontal="center" vertical="center"/>
      <protection hidden="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14"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4" fillId="20" borderId="22" xfId="0" applyFont="1" applyFill="1" applyBorder="1" applyAlignment="1">
      <alignment horizontal="center"/>
    </xf>
    <xf numFmtId="0" fontId="14" fillId="20" borderId="21" xfId="0" applyFont="1" applyFill="1" applyBorder="1" applyAlignment="1">
      <alignment horizontal="center"/>
    </xf>
    <xf numFmtId="0" fontId="14" fillId="20" borderId="20" xfId="0" applyFont="1" applyFill="1" applyBorder="1" applyAlignment="1">
      <alignment horizontal="center"/>
    </xf>
    <xf numFmtId="0" fontId="10" fillId="13" borderId="19" xfId="0" applyFont="1" applyFill="1" applyBorder="1" applyAlignment="1">
      <alignment horizontal="center" vertical="center" wrapText="1"/>
    </xf>
    <xf numFmtId="0" fontId="10" fillId="13" borderId="18" xfId="0" applyFont="1" applyFill="1" applyBorder="1" applyAlignment="1">
      <alignment horizontal="center" vertical="center" wrapText="1"/>
    </xf>
    <xf numFmtId="0" fontId="10" fillId="13" borderId="17" xfId="0" applyFont="1" applyFill="1" applyBorder="1" applyAlignment="1">
      <alignment horizontal="center" vertical="center" wrapText="1"/>
    </xf>
    <xf numFmtId="0" fontId="10" fillId="13" borderId="15" xfId="0" applyFont="1" applyFill="1" applyBorder="1" applyAlignment="1">
      <alignment horizontal="center" vertical="center" wrapText="1"/>
    </xf>
    <xf numFmtId="0" fontId="0" fillId="0" borderId="14" xfId="0" applyBorder="1" applyAlignment="1" applyProtection="1">
      <alignment horizontal="center"/>
      <protection locked="0"/>
    </xf>
    <xf numFmtId="0" fontId="0" fillId="0" borderId="13" xfId="0" applyBorder="1" applyAlignment="1" applyProtection="1">
      <alignment horizontal="center"/>
      <protection locked="0"/>
    </xf>
    <xf numFmtId="0" fontId="14" fillId="20" borderId="17" xfId="0" applyFont="1" applyFill="1" applyBorder="1" applyAlignment="1">
      <alignment horizontal="center"/>
    </xf>
    <xf numFmtId="0" fontId="14" fillId="20" borderId="16" xfId="0" applyFont="1" applyFill="1" applyBorder="1" applyAlignment="1">
      <alignment horizontal="center"/>
    </xf>
    <xf numFmtId="0" fontId="14" fillId="20" borderId="15" xfId="0" applyFont="1" applyFill="1" applyBorder="1" applyAlignment="1">
      <alignment horizontal="center"/>
    </xf>
    <xf numFmtId="0" fontId="15" fillId="14" borderId="22" xfId="0" applyFont="1" applyFill="1" applyBorder="1" applyAlignment="1">
      <alignment horizontal="center"/>
    </xf>
    <xf numFmtId="0" fontId="15" fillId="14" borderId="21" xfId="0" applyFont="1" applyFill="1" applyBorder="1" applyAlignment="1">
      <alignment horizontal="center"/>
    </xf>
    <xf numFmtId="0" fontId="15" fillId="14" borderId="20" xfId="0" applyFont="1" applyFill="1" applyBorder="1" applyAlignment="1">
      <alignment horizontal="center"/>
    </xf>
    <xf numFmtId="0" fontId="14" fillId="20" borderId="25" xfId="0" applyFont="1" applyFill="1" applyBorder="1" applyAlignment="1">
      <alignment horizontal="center"/>
    </xf>
    <xf numFmtId="0" fontId="14" fillId="20" borderId="0" xfId="0" applyFont="1" applyFill="1" applyAlignment="1">
      <alignment horizontal="center"/>
    </xf>
    <xf numFmtId="0" fontId="14" fillId="20" borderId="26" xfId="0" applyFont="1" applyFill="1" applyBorder="1" applyAlignment="1">
      <alignment horizontal="center"/>
    </xf>
    <xf numFmtId="0" fontId="14" fillId="12" borderId="22" xfId="0" applyFont="1" applyFill="1" applyBorder="1" applyAlignment="1">
      <alignment horizontal="center"/>
    </xf>
    <xf numFmtId="0" fontId="14" fillId="12" borderId="21" xfId="0" applyFont="1" applyFill="1" applyBorder="1" applyAlignment="1">
      <alignment horizontal="center"/>
    </xf>
    <xf numFmtId="0" fontId="14" fillId="12" borderId="20" xfId="0" applyFont="1" applyFill="1" applyBorder="1" applyAlignment="1">
      <alignment horizontal="center"/>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3" xfId="0" applyBorder="1" applyAlignment="1">
      <alignment horizontal="left" vertical="center" wrapText="1"/>
    </xf>
    <xf numFmtId="0" fontId="12" fillId="0" borderId="14" xfId="0" applyFont="1" applyBorder="1" applyAlignment="1">
      <alignment horizontal="center" vertical="center"/>
    </xf>
    <xf numFmtId="0" fontId="12" fillId="0" borderId="24" xfId="0" applyFont="1" applyBorder="1" applyAlignment="1">
      <alignment horizontal="center" vertical="center"/>
    </xf>
    <xf numFmtId="0" fontId="12" fillId="0" borderId="13" xfId="0" applyFont="1" applyBorder="1" applyAlignment="1">
      <alignment horizontal="center" vertical="center"/>
    </xf>
    <xf numFmtId="0" fontId="8" fillId="0" borderId="14" xfId="0" applyFont="1" applyBorder="1" applyAlignment="1" applyProtection="1">
      <alignment horizontal="center" vertical="center" wrapText="1"/>
      <protection locked="0"/>
    </xf>
    <xf numFmtId="0" fontId="8" fillId="0" borderId="24"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2" fillId="0" borderId="14" xfId="0" applyFont="1" applyBorder="1" applyAlignment="1">
      <alignment horizontal="center" vertical="center"/>
    </xf>
    <xf numFmtId="0" fontId="2" fillId="0" borderId="24" xfId="0" applyFont="1" applyBorder="1" applyAlignment="1">
      <alignment horizontal="center" vertical="center"/>
    </xf>
    <xf numFmtId="0" fontId="2" fillId="0" borderId="13" xfId="0" applyFont="1" applyBorder="1" applyAlignment="1">
      <alignment horizontal="center" vertical="center"/>
    </xf>
    <xf numFmtId="0" fontId="0" fillId="0" borderId="14" xfId="0" applyBorder="1" applyAlignment="1" applyProtection="1">
      <alignment vertical="center" wrapText="1"/>
      <protection locked="0"/>
    </xf>
    <xf numFmtId="0" fontId="0" fillId="0" borderId="24" xfId="0" applyBorder="1" applyAlignment="1" applyProtection="1">
      <alignment vertical="center" wrapText="1"/>
      <protection locked="0"/>
    </xf>
    <xf numFmtId="0" fontId="0" fillId="0" borderId="13" xfId="0" applyBorder="1" applyAlignment="1" applyProtection="1">
      <alignment vertical="center" wrapText="1"/>
      <protection locked="0"/>
    </xf>
    <xf numFmtId="0" fontId="0" fillId="0" borderId="14" xfId="0" applyBorder="1" applyAlignment="1" applyProtection="1">
      <alignment horizontal="left" vertical="top" wrapText="1"/>
      <protection locked="0"/>
    </xf>
    <xf numFmtId="0" fontId="0" fillId="0" borderId="24" xfId="0"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14" fillId="12" borderId="17" xfId="0" applyFont="1" applyFill="1" applyBorder="1" applyAlignment="1">
      <alignment horizontal="center"/>
    </xf>
    <xf numFmtId="0" fontId="14" fillId="12" borderId="16" xfId="0" applyFont="1" applyFill="1" applyBorder="1" applyAlignment="1">
      <alignment horizontal="center"/>
    </xf>
    <xf numFmtId="0" fontId="14" fillId="12" borderId="15" xfId="0" applyFont="1" applyFill="1" applyBorder="1" applyAlignment="1">
      <alignment horizontal="center"/>
    </xf>
    <xf numFmtId="0" fontId="14" fillId="22" borderId="22" xfId="0" applyFont="1" applyFill="1" applyBorder="1" applyAlignment="1">
      <alignment horizontal="center"/>
    </xf>
    <xf numFmtId="0" fontId="14" fillId="22" borderId="21" xfId="0" applyFont="1" applyFill="1" applyBorder="1" applyAlignment="1">
      <alignment horizontal="center"/>
    </xf>
    <xf numFmtId="0" fontId="14" fillId="22" borderId="20" xfId="0" applyFont="1" applyFill="1" applyBorder="1" applyAlignment="1">
      <alignment horizontal="center"/>
    </xf>
    <xf numFmtId="0" fontId="14" fillId="21" borderId="22" xfId="0" applyFont="1" applyFill="1" applyBorder="1" applyAlignment="1">
      <alignment horizontal="center"/>
    </xf>
    <xf numFmtId="0" fontId="14" fillId="21" borderId="21" xfId="0" applyFont="1" applyFill="1" applyBorder="1" applyAlignment="1">
      <alignment horizontal="center"/>
    </xf>
    <xf numFmtId="0" fontId="14" fillId="21" borderId="20" xfId="0" applyFont="1" applyFill="1" applyBorder="1" applyAlignment="1">
      <alignment horizontal="center"/>
    </xf>
    <xf numFmtId="0" fontId="15" fillId="23" borderId="22" xfId="0" applyFont="1" applyFill="1" applyBorder="1" applyAlignment="1">
      <alignment horizontal="center"/>
    </xf>
    <xf numFmtId="0" fontId="15" fillId="23" borderId="21" xfId="0" applyFont="1" applyFill="1" applyBorder="1" applyAlignment="1">
      <alignment horizontal="center"/>
    </xf>
    <xf numFmtId="0" fontId="15" fillId="23" borderId="20" xfId="0" applyFont="1" applyFill="1" applyBorder="1" applyAlignment="1">
      <alignment horizontal="center"/>
    </xf>
    <xf numFmtId="0" fontId="14" fillId="22" borderId="25" xfId="0" applyFont="1" applyFill="1" applyBorder="1" applyAlignment="1">
      <alignment horizontal="center"/>
    </xf>
    <xf numFmtId="0" fontId="14" fillId="22" borderId="0" xfId="0" applyFont="1" applyFill="1" applyAlignment="1">
      <alignment horizontal="center"/>
    </xf>
    <xf numFmtId="0" fontId="14" fillId="22" borderId="26" xfId="0" applyFont="1" applyFill="1" applyBorder="1" applyAlignment="1">
      <alignment horizontal="center"/>
    </xf>
    <xf numFmtId="0" fontId="14" fillId="21" borderId="17" xfId="0" applyFont="1" applyFill="1" applyBorder="1" applyAlignment="1">
      <alignment horizontal="center"/>
    </xf>
    <xf numFmtId="0" fontId="14" fillId="21" borderId="16" xfId="0" applyFont="1" applyFill="1" applyBorder="1" applyAlignment="1">
      <alignment horizontal="center"/>
    </xf>
    <xf numFmtId="0" fontId="14" fillId="21" borderId="15" xfId="0" applyFont="1" applyFill="1" applyBorder="1" applyAlignment="1">
      <alignment horizontal="center"/>
    </xf>
    <xf numFmtId="0" fontId="15" fillId="19" borderId="22" xfId="0" applyFont="1" applyFill="1" applyBorder="1" applyAlignment="1">
      <alignment horizontal="center"/>
    </xf>
    <xf numFmtId="0" fontId="15" fillId="19" borderId="21" xfId="0" applyFont="1" applyFill="1" applyBorder="1" applyAlignment="1">
      <alignment horizontal="center"/>
    </xf>
    <xf numFmtId="0" fontId="15" fillId="19" borderId="20" xfId="0" applyFont="1" applyFill="1" applyBorder="1" applyAlignment="1">
      <alignment horizontal="center"/>
    </xf>
    <xf numFmtId="0" fontId="15" fillId="18" borderId="22" xfId="0" applyFont="1" applyFill="1" applyBorder="1" applyAlignment="1">
      <alignment horizontal="center"/>
    </xf>
    <xf numFmtId="0" fontId="15" fillId="18" borderId="21" xfId="0" applyFont="1" applyFill="1" applyBorder="1" applyAlignment="1">
      <alignment horizontal="center"/>
    </xf>
    <xf numFmtId="0" fontId="15" fillId="18" borderId="20" xfId="0" applyFont="1" applyFill="1" applyBorder="1" applyAlignment="1">
      <alignment horizontal="center"/>
    </xf>
    <xf numFmtId="0" fontId="14" fillId="17" borderId="22" xfId="0" applyFont="1" applyFill="1" applyBorder="1" applyAlignment="1">
      <alignment horizontal="center"/>
    </xf>
    <xf numFmtId="0" fontId="14" fillId="17" borderId="21" xfId="0" applyFont="1" applyFill="1" applyBorder="1" applyAlignment="1">
      <alignment horizontal="center"/>
    </xf>
    <xf numFmtId="0" fontId="14" fillId="17" borderId="20" xfId="0" applyFont="1" applyFill="1" applyBorder="1" applyAlignment="1">
      <alignment horizontal="center"/>
    </xf>
    <xf numFmtId="0" fontId="14" fillId="17" borderId="17" xfId="0" applyFont="1" applyFill="1" applyBorder="1" applyAlignment="1">
      <alignment horizontal="center"/>
    </xf>
    <xf numFmtId="0" fontId="14" fillId="17" borderId="16" xfId="0" applyFont="1" applyFill="1" applyBorder="1" applyAlignment="1">
      <alignment horizontal="center"/>
    </xf>
    <xf numFmtId="0" fontId="14" fillId="17" borderId="15" xfId="0" applyFont="1" applyFill="1" applyBorder="1" applyAlignment="1">
      <alignment horizontal="center"/>
    </xf>
    <xf numFmtId="0" fontId="14" fillId="6" borderId="22" xfId="0" applyFont="1" applyFill="1" applyBorder="1" applyAlignment="1">
      <alignment horizontal="center"/>
    </xf>
    <xf numFmtId="0" fontId="14" fillId="6" borderId="21" xfId="0" applyFont="1" applyFill="1" applyBorder="1" applyAlignment="1">
      <alignment horizontal="center"/>
    </xf>
    <xf numFmtId="0" fontId="14" fillId="6" borderId="20" xfId="0" applyFont="1" applyFill="1" applyBorder="1" applyAlignment="1">
      <alignment horizontal="center"/>
    </xf>
    <xf numFmtId="0" fontId="14" fillId="6" borderId="0" xfId="0" applyFont="1" applyFill="1" applyAlignment="1">
      <alignment horizontal="center"/>
    </xf>
    <xf numFmtId="0" fontId="14" fillId="16" borderId="22" xfId="0" applyFont="1" applyFill="1" applyBorder="1" applyAlignment="1">
      <alignment horizontal="center"/>
    </xf>
    <xf numFmtId="0" fontId="14" fillId="16" borderId="21" xfId="0" applyFont="1" applyFill="1" applyBorder="1" applyAlignment="1">
      <alignment horizontal="center"/>
    </xf>
    <xf numFmtId="0" fontId="14" fillId="16" borderId="20" xfId="0" applyFont="1" applyFill="1" applyBorder="1" applyAlignment="1">
      <alignment horizontal="center"/>
    </xf>
    <xf numFmtId="0" fontId="6" fillId="0" borderId="6" xfId="0" applyFont="1" applyBorder="1" applyAlignment="1">
      <alignment horizontal="center" vertical="center"/>
    </xf>
  </cellXfs>
  <cellStyles count="3">
    <cellStyle name="Millares 2" xfId="2" xr:uid="{B20764A6-2717-4C0E-B976-56EEF74F2AD7}"/>
    <cellStyle name="Normal" xfId="0" builtinId="0"/>
    <cellStyle name="Percent" xfId="1" builtinId="5"/>
  </cellStyles>
  <dxfs count="5">
    <dxf>
      <font>
        <b/>
        <i val="0"/>
        <strike val="0"/>
        <condense val="0"/>
        <extend val="0"/>
        <outline val="0"/>
        <shadow val="0"/>
        <u val="none"/>
        <vertAlign val="baseline"/>
        <sz val="10"/>
        <color rgb="FF000000"/>
        <name val="Cambria"/>
        <family val="1"/>
        <scheme val="none"/>
      </font>
      <fill>
        <patternFill patternType="solid">
          <fgColor indexed="64"/>
          <bgColor rgb="FFBDD6EE"/>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mbria"/>
        <family val="1"/>
        <scheme val="none"/>
      </font>
      <fill>
        <patternFill patternType="solid">
          <fgColor indexed="64"/>
          <bgColor rgb="FFBDD6EE"/>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mbria"/>
        <family val="1"/>
        <scheme val="none"/>
      </font>
      <fill>
        <patternFill patternType="solid">
          <fgColor indexed="64"/>
          <bgColor rgb="FFBDD6EE"/>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0"/>
        <color rgb="FF000000"/>
        <name val="Cambria"/>
        <family val="1"/>
        <scheme val="none"/>
      </font>
      <fill>
        <patternFill patternType="solid">
          <fgColor indexed="64"/>
          <bgColor rgb="FFBDD6EE"/>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9BD44207-A0D3-46AE-AA59-D2B562897DB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532968</xdr:colOff>
      <xdr:row>1</xdr:row>
      <xdr:rowOff>62865</xdr:rowOff>
    </xdr:from>
    <xdr:ext cx="9205343" cy="3990975"/>
    <xdr:pic>
      <xdr:nvPicPr>
        <xdr:cNvPr id="2" name="Imagen 1">
          <a:extLst>
            <a:ext uri="{FF2B5EF4-FFF2-40B4-BE49-F238E27FC236}">
              <a16:creationId xmlns:a16="http://schemas.microsoft.com/office/drawing/2014/main" id="{67F213C2-2D8A-45FA-8ACD-BCF03FE094A0}"/>
            </a:ext>
          </a:extLst>
        </xdr:cNvPr>
        <xdr:cNvPicPr>
          <a:picLocks noChangeAspect="1"/>
        </xdr:cNvPicPr>
      </xdr:nvPicPr>
      <xdr:blipFill>
        <a:blip xmlns:r="http://schemas.openxmlformats.org/officeDocument/2006/relationships" r:embed="rId1"/>
        <a:stretch>
          <a:fillRect/>
        </a:stretch>
      </xdr:blipFill>
      <xdr:spPr>
        <a:xfrm>
          <a:off x="4342968" y="253365"/>
          <a:ext cx="9205343" cy="3990975"/>
        </a:xfrm>
        <a:prstGeom prst="rect">
          <a:avLst/>
        </a:prstGeom>
      </xdr:spPr>
    </xdr:pic>
    <xdr:clientData/>
  </xdr:oneCellAnchor>
  <xdr:oneCellAnchor>
    <xdr:from>
      <xdr:col>6</xdr:col>
      <xdr:colOff>0</xdr:colOff>
      <xdr:row>26</xdr:row>
      <xdr:rowOff>0</xdr:rowOff>
    </xdr:from>
    <xdr:ext cx="12439546" cy="6112050"/>
    <xdr:pic>
      <xdr:nvPicPr>
        <xdr:cNvPr id="3" name="Imagen 2">
          <a:extLst>
            <a:ext uri="{FF2B5EF4-FFF2-40B4-BE49-F238E27FC236}">
              <a16:creationId xmlns:a16="http://schemas.microsoft.com/office/drawing/2014/main" id="{2E7A43A0-5610-4929-AD81-76629024BB50}"/>
            </a:ext>
          </a:extLst>
        </xdr:cNvPr>
        <xdr:cNvPicPr>
          <a:picLocks noChangeAspect="1"/>
        </xdr:cNvPicPr>
      </xdr:nvPicPr>
      <xdr:blipFill>
        <a:blip xmlns:r="http://schemas.openxmlformats.org/officeDocument/2006/relationships" r:embed="rId2"/>
        <a:stretch>
          <a:fillRect/>
        </a:stretch>
      </xdr:blipFill>
      <xdr:spPr>
        <a:xfrm>
          <a:off x="4572000" y="4953000"/>
          <a:ext cx="12439546" cy="611205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Walter Javier Avila Figueroa" id="{C3683B61-A640-47A4-80A7-CF0357ADD77A}" userId="14f36a170f31ac83"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144943-4C79-493D-809B-3822366CA357}" name="ESTADO_EF" displayName="ESTADO_EF" ref="A3:A5" totalsRowShown="0">
  <autoFilter ref="A3:A5" xr:uid="{7837E0FB-BB6D-4393-8CA8-F9CF07A508D8}"/>
  <tableColumns count="1">
    <tableColumn id="1" xr3:uid="{6264EFC5-1100-4F6D-8E1B-6853CAC32E16}" name="ESTADO DE ELEMENTO FUNDAMEN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CBD21E-9134-4271-AF1C-9B2DF7737025}" name="VALORACIÓN_INDI" displayName="VALORACIÓN_INDI" ref="A14:D18" totalsRowShown="0">
  <autoFilter ref="A14:D18" xr:uid="{928419A2-A213-471F-AD25-3D3F45957532}"/>
  <tableColumns count="4">
    <tableColumn id="1" xr3:uid="{B2FA6EEC-D6BF-48E7-8EDC-B2C789C20641}" name="VALORACIÓN"/>
    <tableColumn id="2" xr3:uid="{8BA82053-9227-4507-9233-3D54C96BA73B}" name="ESCENCIAL"/>
    <tableColumn id="3" xr3:uid="{D370F7F4-F2BF-4E90-AE8A-E7ADA849DB29}" name="COMPLEMENTARIO"/>
    <tableColumn id="4" xr3:uid="{46FC7846-CD0B-455B-8F79-411A34D02116}" name="Valo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E3FC96-6EE3-4A47-AD3E-5BA11C0C4D6D}" name="ESTADO_EF5" displayName="ESTADO_EF5" ref="A7:A9" totalsRowShown="0">
  <autoFilter ref="A7:A9" xr:uid="{B5032B63-1EB0-42B1-88D8-904C99865555}"/>
  <tableColumns count="1">
    <tableColumn id="1" xr3:uid="{A6947B98-D825-4BAB-9A61-E0695E9DFB7F}" name="TIPO ELEMENTO FUNDAMENT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57B08-99B2-4594-AB87-CC5B2182A9AE}" name="PESOS_TIPOS" displayName="PESOS_TIPOS" ref="AV9:AX12" totalsRowShown="0" dataDxfId="4" tableBorderDxfId="3">
  <autoFilter ref="AV9:AX12" xr:uid="{FE9CD249-C939-4CFA-B20B-6B716EFBF69B}"/>
  <tableColumns count="3">
    <tableColumn id="1" xr3:uid="{166FD555-9C6C-4D56-97BD-CC0CF4E2E1DE}" name="ORDEN PESOS" dataDxfId="2"/>
    <tableColumn id="2" xr3:uid="{4E4FB58E-19C7-484F-84FF-F740CD87EB17}" name="TIPO PESOS" dataDxfId="1"/>
    <tableColumn id="3" xr3:uid="{750D7A0B-E11E-4EE6-AEF8-D0E832F32D51}" name="Column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4-09-21T13:24:50.18" personId="{C3683B61-A640-47A4-80A7-CF0357ADD77A}" id="{28F5CBB7-AA7C-47FD-8A09-CAE4824B325C}">
    <text>Evaluación Externa preparatoria</text>
  </threadedComment>
</ThreadedComment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4E73-D37C-4751-A06F-09F599B1D147}">
  <dimension ref="A1:T229"/>
  <sheetViews>
    <sheetView tabSelected="1" zoomScale="80" zoomScaleNormal="80" workbookViewId="0">
      <selection sqref="A1:F229"/>
    </sheetView>
  </sheetViews>
  <sheetFormatPr defaultColWidth="11.42578125" defaultRowHeight="15" x14ac:dyDescent="0.25"/>
  <cols>
    <col min="1" max="1" width="11.42578125" style="108"/>
    <col min="2" max="2" width="103.28515625" style="107" customWidth="1"/>
    <col min="3" max="3" width="30.140625" style="106" customWidth="1"/>
    <col min="4" max="4" width="25.5703125" bestFit="1" customWidth="1"/>
    <col min="5" max="5" width="75.5703125" customWidth="1"/>
    <col min="6" max="6" width="97.42578125" customWidth="1"/>
    <col min="7" max="7" width="13.42578125" bestFit="1" customWidth="1"/>
    <col min="16" max="16" width="13.42578125" hidden="1" customWidth="1"/>
    <col min="17" max="17" width="41.140625" hidden="1" customWidth="1"/>
    <col min="18" max="18" width="10" hidden="1" customWidth="1"/>
    <col min="19" max="19" width="18.5703125" hidden="1" customWidth="1"/>
    <col min="20" max="22" width="0" hidden="1" customWidth="1"/>
  </cols>
  <sheetData>
    <row r="1" spans="1:20" ht="28.5" customHeight="1" thickBot="1" x14ac:dyDescent="0.3">
      <c r="A1" s="131" t="s">
        <v>0</v>
      </c>
      <c r="B1" s="132"/>
      <c r="C1" s="133"/>
      <c r="D1" s="134" t="s">
        <v>512</v>
      </c>
      <c r="E1" s="135"/>
      <c r="F1" s="136"/>
    </row>
    <row r="2" spans="1:20" ht="26.25" customHeight="1" thickBot="1" x14ac:dyDescent="0.3">
      <c r="A2" s="131" t="s">
        <v>1</v>
      </c>
      <c r="B2" s="132"/>
      <c r="C2" s="133"/>
      <c r="D2" s="134" t="s">
        <v>513</v>
      </c>
      <c r="E2" s="135"/>
      <c r="F2" s="136"/>
    </row>
    <row r="3" spans="1:20" ht="24.75" customHeight="1" thickBot="1" x14ac:dyDescent="0.3">
      <c r="A3" s="137" t="s">
        <v>2</v>
      </c>
      <c r="B3" s="138"/>
      <c r="C3" s="139"/>
      <c r="D3" s="134" t="s">
        <v>514</v>
      </c>
      <c r="E3" s="135"/>
      <c r="F3" s="136"/>
    </row>
    <row r="4" spans="1:20" ht="26.25" customHeight="1" thickBot="1" x14ac:dyDescent="0.3">
      <c r="A4" s="137" t="s">
        <v>3</v>
      </c>
      <c r="B4" s="138"/>
      <c r="C4" s="139"/>
      <c r="D4" s="134" t="s">
        <v>514</v>
      </c>
      <c r="E4" s="135"/>
      <c r="F4" s="136"/>
    </row>
    <row r="5" spans="1:20" ht="24.75" thickBot="1" x14ac:dyDescent="0.45">
      <c r="A5" s="193" t="s">
        <v>4</v>
      </c>
      <c r="B5" s="194"/>
      <c r="C5" s="194"/>
      <c r="D5" s="194"/>
      <c r="E5" s="194"/>
      <c r="F5" s="195"/>
      <c r="R5" s="110" t="s">
        <v>5</v>
      </c>
      <c r="S5" s="110" t="s">
        <v>6</v>
      </c>
      <c r="T5" s="110"/>
    </row>
    <row r="6" spans="1:20" ht="24.75" thickBot="1" x14ac:dyDescent="0.45">
      <c r="A6" s="187" t="s">
        <v>7</v>
      </c>
      <c r="B6" s="188"/>
      <c r="C6" s="188"/>
      <c r="D6" s="188"/>
      <c r="E6" s="188"/>
      <c r="F6" s="189"/>
      <c r="R6" s="110"/>
      <c r="S6" s="110"/>
      <c r="T6" s="110"/>
    </row>
    <row r="7" spans="1:20" ht="24.75" thickBot="1" x14ac:dyDescent="0.45">
      <c r="A7" s="196" t="s">
        <v>8</v>
      </c>
      <c r="B7" s="197"/>
      <c r="C7" s="197"/>
      <c r="D7" s="197"/>
      <c r="E7" s="197"/>
      <c r="F7" s="198"/>
      <c r="P7" t="s">
        <v>9</v>
      </c>
      <c r="Q7" t="s">
        <v>10</v>
      </c>
      <c r="R7" s="110" cm="1">
        <f t="array" ref="R7">+_xlfn.XLOOKUP(Q7,PESOS_TIPOS[[#All],[TIPO PESOS]],PESOS_TIPOS[[#All],[ORDEN PESOS]],"",0)</f>
        <v>1</v>
      </c>
      <c r="S7" s="110" cm="1">
        <f t="array" ref="S7">+_xlfn.XLOOKUP(Q7,PESOS_TIPOS[[#All],[TIPO PESOS]],PESOS_TIPOS[[#All],[Columna]],"",0)</f>
        <v>8</v>
      </c>
      <c r="T7" s="110"/>
    </row>
    <row r="8" spans="1:20" ht="15.75" x14ac:dyDescent="0.25">
      <c r="A8" s="104" t="s">
        <v>11</v>
      </c>
      <c r="B8" s="104" t="s">
        <v>12</v>
      </c>
      <c r="C8" s="104" t="s">
        <v>13</v>
      </c>
      <c r="D8" s="104" t="s">
        <v>14</v>
      </c>
      <c r="E8" s="104" t="s">
        <v>15</v>
      </c>
      <c r="F8" s="104" t="s">
        <v>16</v>
      </c>
      <c r="R8" s="110"/>
      <c r="S8" s="110"/>
      <c r="T8" s="110"/>
    </row>
    <row r="9" spans="1:20" ht="174.6" customHeight="1" thickBot="1" x14ac:dyDescent="0.3">
      <c r="A9" s="116">
        <v>1</v>
      </c>
      <c r="B9" s="105" t="s">
        <v>17</v>
      </c>
      <c r="C9" s="115" t="s">
        <v>18</v>
      </c>
      <c r="D9" s="128" t="s">
        <v>19</v>
      </c>
      <c r="E9" s="127" t="s">
        <v>384</v>
      </c>
      <c r="F9" s="126" t="s">
        <v>374</v>
      </c>
      <c r="Q9" s="120" t="s">
        <v>20</v>
      </c>
      <c r="R9" s="117" t="s">
        <v>21</v>
      </c>
      <c r="S9" s="117" t="s">
        <v>18</v>
      </c>
      <c r="T9" s="110"/>
    </row>
    <row r="10" spans="1:20" ht="153" customHeight="1" thickBot="1" x14ac:dyDescent="0.3">
      <c r="A10" s="116">
        <v>2</v>
      </c>
      <c r="B10" s="105" t="s">
        <v>22</v>
      </c>
      <c r="C10" s="115" t="s">
        <v>18</v>
      </c>
      <c r="D10" s="128" t="s">
        <v>23</v>
      </c>
      <c r="E10" s="127" t="s">
        <v>389</v>
      </c>
      <c r="F10" s="126" t="s">
        <v>375</v>
      </c>
      <c r="Q10" s="111" t="s">
        <v>24</v>
      </c>
      <c r="R10" s="110">
        <f>+COUNTIF(C9:C20,R9)</f>
        <v>6</v>
      </c>
      <c r="S10" s="110">
        <f>+COUNTIF(C9:C20,S9)</f>
        <v>6</v>
      </c>
      <c r="T10" s="110"/>
    </row>
    <row r="11" spans="1:20" ht="161.44999999999999" customHeight="1" thickBot="1" x14ac:dyDescent="0.3">
      <c r="A11" s="116">
        <v>3</v>
      </c>
      <c r="B11" s="105" t="s">
        <v>25</v>
      </c>
      <c r="C11" s="115" t="s">
        <v>21</v>
      </c>
      <c r="D11" s="128" t="s">
        <v>23</v>
      </c>
      <c r="E11" s="127" t="s">
        <v>389</v>
      </c>
      <c r="F11" s="126" t="s">
        <v>376</v>
      </c>
      <c r="Q11" s="111" t="s">
        <v>26</v>
      </c>
      <c r="R11" s="110">
        <f>+COUNTIFS(C9:C20,R9,D9:D20,"")</f>
        <v>0</v>
      </c>
      <c r="S11" s="110">
        <f>+COUNTIFS(C9:C20,S9,D9:D20,"")</f>
        <v>0</v>
      </c>
      <c r="T11" s="110"/>
    </row>
    <row r="12" spans="1:20" ht="125.45" customHeight="1" thickBot="1" x14ac:dyDescent="0.3">
      <c r="A12" s="116">
        <v>4</v>
      </c>
      <c r="B12" s="105" t="s">
        <v>27</v>
      </c>
      <c r="C12" s="115" t="s">
        <v>21</v>
      </c>
      <c r="D12" s="128" t="s">
        <v>23</v>
      </c>
      <c r="E12" s="127" t="s">
        <v>387</v>
      </c>
      <c r="F12" s="126" t="s">
        <v>377</v>
      </c>
      <c r="Q12" s="111" t="s">
        <v>23</v>
      </c>
      <c r="R12" s="110">
        <f>+COUNTIFS(C9:C20,R9,D9:D20,Q12)</f>
        <v>5</v>
      </c>
      <c r="S12" s="110">
        <f>+COUNTIFS(C9:C20,S9,D9:D20,Q12)</f>
        <v>3</v>
      </c>
      <c r="T12" s="110"/>
    </row>
    <row r="13" spans="1:20" ht="151.9" customHeight="1" thickBot="1" x14ac:dyDescent="0.3">
      <c r="A13" s="116">
        <v>5</v>
      </c>
      <c r="B13" s="105" t="s">
        <v>28</v>
      </c>
      <c r="C13" s="115" t="s">
        <v>21</v>
      </c>
      <c r="D13" s="128" t="s">
        <v>23</v>
      </c>
      <c r="E13" s="127" t="s">
        <v>386</v>
      </c>
      <c r="F13" s="126" t="s">
        <v>378</v>
      </c>
      <c r="Q13" s="111" t="s">
        <v>19</v>
      </c>
      <c r="R13" s="110">
        <f>+COUNTIFS(C9:C20,R9,D9:D20,Q13)</f>
        <v>1</v>
      </c>
      <c r="S13" s="110">
        <f>+COUNTIFS(C9:C20,S9,D9:D20,Q13)</f>
        <v>3</v>
      </c>
      <c r="T13" s="110"/>
    </row>
    <row r="14" spans="1:20" ht="180.75" thickBot="1" x14ac:dyDescent="0.3">
      <c r="A14" s="116">
        <v>6</v>
      </c>
      <c r="B14" s="105" t="s">
        <v>29</v>
      </c>
      <c r="C14" s="115" t="s">
        <v>21</v>
      </c>
      <c r="D14" s="128" t="s">
        <v>23</v>
      </c>
      <c r="E14" s="127" t="s">
        <v>389</v>
      </c>
      <c r="F14" s="126" t="s">
        <v>379</v>
      </c>
      <c r="Q14" s="109" t="str">
        <f>+A7</f>
        <v>Indicador: Planificación Estratégica Operativa</v>
      </c>
      <c r="R14" s="140" t="str" cm="1">
        <f t="array" ref="R14">_xlfn.IFS(AND(R12=R10,S12=S10),'DATOS BÁSICOS'!$A$15,AND(R12=R10,S12&gt;0,S12&lt;S10),'DATOS BÁSICOS'!$A$16,AND(R12&gt;=1,S12&lt;=S10),'DATOS BÁSICOS'!$A$17,R12=0,'DATOS BÁSICOS'!$A$18)</f>
        <v>POCO-SATISFACTORIO</v>
      </c>
      <c r="S14" s="140"/>
      <c r="T14" s="110"/>
    </row>
    <row r="15" spans="1:20" ht="135.75" thickBot="1" x14ac:dyDescent="0.3">
      <c r="A15" s="116">
        <v>7</v>
      </c>
      <c r="B15" s="105" t="s">
        <v>30</v>
      </c>
      <c r="C15" s="115" t="s">
        <v>21</v>
      </c>
      <c r="D15" s="128" t="s">
        <v>23</v>
      </c>
      <c r="E15" s="127" t="s">
        <v>390</v>
      </c>
      <c r="F15" s="126" t="s">
        <v>380</v>
      </c>
    </row>
    <row r="16" spans="1:20" ht="262.14999999999998" customHeight="1" thickBot="1" x14ac:dyDescent="0.3">
      <c r="A16" s="116">
        <v>8</v>
      </c>
      <c r="B16" s="105" t="s">
        <v>31</v>
      </c>
      <c r="C16" s="115" t="s">
        <v>21</v>
      </c>
      <c r="D16" s="128" t="s">
        <v>19</v>
      </c>
      <c r="E16" s="127" t="s">
        <v>388</v>
      </c>
      <c r="F16" s="126" t="s">
        <v>381</v>
      </c>
    </row>
    <row r="17" spans="1:19" ht="84" customHeight="1" thickBot="1" x14ac:dyDescent="0.3">
      <c r="A17" s="116">
        <v>9</v>
      </c>
      <c r="B17" s="105" t="s">
        <v>32</v>
      </c>
      <c r="C17" s="115" t="s">
        <v>18</v>
      </c>
      <c r="D17" s="128" t="s">
        <v>19</v>
      </c>
      <c r="E17" s="127" t="s">
        <v>384</v>
      </c>
      <c r="F17" s="126" t="s">
        <v>382</v>
      </c>
    </row>
    <row r="18" spans="1:19" ht="45.75" thickBot="1" x14ac:dyDescent="0.3">
      <c r="A18" s="116">
        <v>10</v>
      </c>
      <c r="B18" s="105" t="s">
        <v>33</v>
      </c>
      <c r="C18" s="115" t="s">
        <v>18</v>
      </c>
      <c r="D18" s="129" t="s">
        <v>23</v>
      </c>
      <c r="E18" s="127" t="s">
        <v>385</v>
      </c>
      <c r="F18" s="126" t="s">
        <v>515</v>
      </c>
    </row>
    <row r="19" spans="1:19" ht="45.75" thickBot="1" x14ac:dyDescent="0.3">
      <c r="A19" s="116">
        <v>11</v>
      </c>
      <c r="B19" s="105" t="s">
        <v>34</v>
      </c>
      <c r="C19" s="115" t="s">
        <v>18</v>
      </c>
      <c r="D19" s="129" t="s">
        <v>23</v>
      </c>
      <c r="E19" s="127" t="s">
        <v>385</v>
      </c>
      <c r="F19" s="126" t="s">
        <v>515</v>
      </c>
    </row>
    <row r="20" spans="1:19" ht="75.75" thickBot="1" x14ac:dyDescent="0.3">
      <c r="A20" s="116">
        <v>12</v>
      </c>
      <c r="B20" s="105" t="s">
        <v>35</v>
      </c>
      <c r="C20" s="115" t="s">
        <v>18</v>
      </c>
      <c r="D20" s="128" t="s">
        <v>19</v>
      </c>
      <c r="E20" s="127" t="s">
        <v>384</v>
      </c>
      <c r="F20" s="126" t="s">
        <v>383</v>
      </c>
    </row>
    <row r="21" spans="1:19" ht="48" customHeight="1" thickBot="1" x14ac:dyDescent="0.3">
      <c r="A21" s="148" t="s">
        <v>36</v>
      </c>
      <c r="B21" s="149"/>
      <c r="C21" s="121" t="str" cm="1">
        <f t="array" ref="C21">+IFERROR(IF((R11+S11)&gt;0,"INGRESAR VALORACIÓN",_xlfn.IFS(AND(R12=R10,S12=S10),'DATOS BÁSICOS'!$A$15,AND(R12=R10,S12&lt;&gt;0,S12&lt;S10),'DATOS BÁSICOS'!$A$16,AND(R12&gt;=1,S12&lt;=S10),'DATOS BÁSICOS'!$A$17,R12=0,'DATOS BÁSICOS'!$A$18)),"RESULTADO NO DEFINIDO")</f>
        <v>POCO-SATISFACTORIO</v>
      </c>
      <c r="D21" s="122" t="s">
        <v>37</v>
      </c>
      <c r="E21" s="103" t="s">
        <v>38</v>
      </c>
      <c r="F21" s="152"/>
    </row>
    <row r="22" spans="1:19" ht="31.5" customHeight="1" thickBot="1" x14ac:dyDescent="0.3">
      <c r="A22" s="150"/>
      <c r="B22" s="151"/>
      <c r="C22" s="112">
        <f>+IFERROR(VLOOKUP(C21,VALORACIÓN_INDI[],4,0),"")</f>
        <v>0.35</v>
      </c>
      <c r="D22" s="102">
        <f>+VLOOKUP(Q9,PESOS!$BD$2:$BM$45,'INDICADORES CUALITATIVOS'!$S$7,0)</f>
        <v>0.04</v>
      </c>
      <c r="E22" s="101">
        <f>+IFERROR(C22*D22,"")</f>
        <v>1.3999999999999999E-2</v>
      </c>
      <c r="F22" s="153"/>
    </row>
    <row r="23" spans="1:19" ht="21.6" customHeight="1" x14ac:dyDescent="0.25">
      <c r="A23" s="141" t="s">
        <v>39</v>
      </c>
      <c r="B23" s="141"/>
      <c r="C23" s="143"/>
      <c r="D23" s="143"/>
      <c r="E23" s="143"/>
      <c r="F23" s="143"/>
    </row>
    <row r="24" spans="1:19" ht="21" customHeight="1" thickBot="1" x14ac:dyDescent="0.3">
      <c r="A24" s="142"/>
      <c r="B24" s="142"/>
      <c r="C24" s="144"/>
      <c r="D24" s="144"/>
      <c r="E24" s="144"/>
      <c r="F24" s="144"/>
    </row>
    <row r="25" spans="1:19" ht="15.75" thickBot="1" x14ac:dyDescent="0.3"/>
    <row r="26" spans="1:19" ht="24.75" thickBot="1" x14ac:dyDescent="0.45">
      <c r="A26" s="187" t="s">
        <v>40</v>
      </c>
      <c r="B26" s="188"/>
      <c r="C26" s="188"/>
      <c r="D26" s="188"/>
      <c r="E26" s="188"/>
      <c r="F26" s="189"/>
    </row>
    <row r="27" spans="1:19" ht="16.5" thickBot="1" x14ac:dyDescent="0.3">
      <c r="A27" s="104" t="s">
        <v>11</v>
      </c>
      <c r="B27" s="104" t="s">
        <v>12</v>
      </c>
      <c r="C27" s="104" t="s">
        <v>13</v>
      </c>
      <c r="D27" s="104" t="s">
        <v>14</v>
      </c>
      <c r="E27" s="104" t="s">
        <v>41</v>
      </c>
      <c r="F27" s="104" t="s">
        <v>16</v>
      </c>
      <c r="R27" s="110"/>
      <c r="S27" s="110"/>
    </row>
    <row r="28" spans="1:19" ht="120.75" thickBot="1" x14ac:dyDescent="0.3">
      <c r="A28" s="116">
        <v>1</v>
      </c>
      <c r="B28" s="118" t="s">
        <v>42</v>
      </c>
      <c r="C28" s="115" t="s">
        <v>21</v>
      </c>
      <c r="D28" s="128" t="s">
        <v>19</v>
      </c>
      <c r="E28" s="127" t="s">
        <v>391</v>
      </c>
      <c r="F28" s="126" t="s">
        <v>392</v>
      </c>
      <c r="Q28" s="80" t="s">
        <v>43</v>
      </c>
      <c r="R28" s="117" t="s">
        <v>21</v>
      </c>
      <c r="S28" s="117" t="s">
        <v>18</v>
      </c>
    </row>
    <row r="29" spans="1:19" ht="60.75" thickBot="1" x14ac:dyDescent="0.3">
      <c r="A29" s="116">
        <v>2</v>
      </c>
      <c r="B29" s="105" t="s">
        <v>44</v>
      </c>
      <c r="C29" s="115" t="s">
        <v>18</v>
      </c>
      <c r="D29" s="128" t="s">
        <v>19</v>
      </c>
      <c r="E29" s="127" t="s">
        <v>384</v>
      </c>
      <c r="F29" s="126" t="s">
        <v>393</v>
      </c>
      <c r="Q29" s="111" t="s">
        <v>24</v>
      </c>
      <c r="R29" s="110">
        <f>+COUNTIF(C28:C35,R28)</f>
        <v>4</v>
      </c>
      <c r="S29" s="110">
        <f>+COUNTIF(C28:C35,S28)</f>
        <v>4</v>
      </c>
    </row>
    <row r="30" spans="1:19" ht="60.75" thickBot="1" x14ac:dyDescent="0.3">
      <c r="A30" s="116">
        <v>3</v>
      </c>
      <c r="B30" s="105" t="s">
        <v>45</v>
      </c>
      <c r="C30" s="115" t="s">
        <v>21</v>
      </c>
      <c r="D30" s="128" t="s">
        <v>19</v>
      </c>
      <c r="E30" s="127" t="s">
        <v>384</v>
      </c>
      <c r="F30" s="126" t="s">
        <v>394</v>
      </c>
      <c r="Q30" s="111" t="s">
        <v>26</v>
      </c>
      <c r="R30" s="110">
        <f>+COUNTIFS(C28:C35,R28,D28:D35,"")</f>
        <v>0</v>
      </c>
      <c r="S30" s="110">
        <f>+COUNTIFS(C28:C35,S28,D28:D35,"")</f>
        <v>0</v>
      </c>
    </row>
    <row r="31" spans="1:19" ht="105.75" thickBot="1" x14ac:dyDescent="0.3">
      <c r="A31" s="116">
        <v>4</v>
      </c>
      <c r="B31" s="105" t="s">
        <v>46</v>
      </c>
      <c r="C31" s="115" t="s">
        <v>21</v>
      </c>
      <c r="D31" s="128" t="s">
        <v>23</v>
      </c>
      <c r="E31" s="127" t="s">
        <v>391</v>
      </c>
      <c r="F31" s="126" t="s">
        <v>395</v>
      </c>
      <c r="Q31" s="111" t="s">
        <v>23</v>
      </c>
      <c r="R31" s="110">
        <f>+COUNTIFS(C28:C35,R28,D28:D35,Q31)</f>
        <v>1</v>
      </c>
      <c r="S31" s="110">
        <f>+COUNTIFS(C28:C35,S28,D28:D35,Q31)</f>
        <v>0</v>
      </c>
    </row>
    <row r="32" spans="1:19" ht="90.75" thickBot="1" x14ac:dyDescent="0.3">
      <c r="A32" s="116">
        <v>5</v>
      </c>
      <c r="B32" s="105" t="s">
        <v>47</v>
      </c>
      <c r="C32" s="115" t="s">
        <v>18</v>
      </c>
      <c r="D32" s="128" t="s">
        <v>19</v>
      </c>
      <c r="E32" s="127" t="s">
        <v>384</v>
      </c>
      <c r="F32" s="126" t="s">
        <v>396</v>
      </c>
      <c r="Q32" s="111" t="s">
        <v>19</v>
      </c>
      <c r="R32" s="110">
        <f>+COUNTIFS(C28:C35,R28,D28:D35,Q32)</f>
        <v>3</v>
      </c>
      <c r="S32" s="110">
        <f>+COUNTIFS(C28:C35,S28,D28:D35,Q32)</f>
        <v>4</v>
      </c>
    </row>
    <row r="33" spans="1:20" ht="75.75" thickBot="1" x14ac:dyDescent="0.3">
      <c r="A33" s="116">
        <v>6</v>
      </c>
      <c r="B33" s="105" t="s">
        <v>48</v>
      </c>
      <c r="C33" s="115" t="s">
        <v>18</v>
      </c>
      <c r="D33" s="128" t="s">
        <v>19</v>
      </c>
      <c r="E33" s="127" t="s">
        <v>384</v>
      </c>
      <c r="F33" s="126" t="s">
        <v>397</v>
      </c>
      <c r="Q33" s="109" t="str">
        <f>+A26</f>
        <v>Indicador: Relaciones Internacionales para el Desarrollo</v>
      </c>
      <c r="R33" s="140" t="str" cm="1">
        <f t="array" ref="R33">+IFERROR(IF((R30+S30)&gt;0,"INGRESAR VALORACIÓN",_xlfn.IFS(AND(R31=R29,S31=S29),'DATOS BÁSICOS'!$A$15,AND(R31=R29,S31&gt;0,S31&lt;S29),'DATOS BÁSICOS'!$A$16,AND(R31=1,S31&lt;S29),'DATOS BÁSICOS'!$A$17,R31=0,'DATOS BÁSICOS'!$A$18)),"RESULTADO NO DEFINIDO")</f>
        <v>POCO-SATISFACTORIO</v>
      </c>
      <c r="S33" s="140"/>
    </row>
    <row r="34" spans="1:20" ht="45.75" thickBot="1" x14ac:dyDescent="0.3">
      <c r="A34" s="116">
        <v>7</v>
      </c>
      <c r="B34" s="105" t="s">
        <v>49</v>
      </c>
      <c r="C34" s="115" t="s">
        <v>18</v>
      </c>
      <c r="D34" s="128" t="s">
        <v>19</v>
      </c>
      <c r="E34" s="127" t="s">
        <v>398</v>
      </c>
      <c r="F34" s="126" t="s">
        <v>399</v>
      </c>
    </row>
    <row r="35" spans="1:20" ht="90.75" thickBot="1" x14ac:dyDescent="0.3">
      <c r="A35" s="116">
        <v>8</v>
      </c>
      <c r="B35" s="105" t="s">
        <v>50</v>
      </c>
      <c r="C35" s="115" t="s">
        <v>21</v>
      </c>
      <c r="D35" s="128" t="s">
        <v>19</v>
      </c>
      <c r="E35" s="127" t="s">
        <v>391</v>
      </c>
      <c r="F35" s="126" t="s">
        <v>400</v>
      </c>
    </row>
    <row r="36" spans="1:20" ht="19.5" thickBot="1" x14ac:dyDescent="0.3">
      <c r="A36" s="148" t="s">
        <v>36</v>
      </c>
      <c r="B36" s="149"/>
      <c r="C36" s="113" t="str" cm="1">
        <f t="array" ref="C36">+IFERROR(IF((R30+S30)&gt;0,"INGRESAR VALORACIÓN",_xlfn.IFS(AND(R31=R29,S31=S29),'DATOS BÁSICOS'!$A$15,AND(R31=R29,S31&lt;&gt;0,S31&lt;S29),'DATOS BÁSICOS'!$A$16,AND(R31&gt;=1,S31&lt;=S29),'DATOS BÁSICOS'!$A$17,R31=0,'DATOS BÁSICOS'!$A$18)),"RESULTADO NO DEFINIDO")</f>
        <v>POCO-SATISFACTORIO</v>
      </c>
      <c r="D36" s="123" t="s">
        <v>37</v>
      </c>
      <c r="E36" s="103" t="s">
        <v>38</v>
      </c>
      <c r="F36" s="152"/>
    </row>
    <row r="37" spans="1:20" ht="24.75" thickBot="1" x14ac:dyDescent="0.3">
      <c r="A37" s="150"/>
      <c r="B37" s="151"/>
      <c r="C37" s="112">
        <f>+IFERROR(VLOOKUP(C36,VALORACIÓN_INDI[],4,0),"")</f>
        <v>0.35</v>
      </c>
      <c r="D37" s="102">
        <f>+VLOOKUP(Q28,PESOS!$BD$2:$BM$45,'INDICADORES CUALITATIVOS'!$S$7,0)</f>
        <v>0.02</v>
      </c>
      <c r="E37" s="101">
        <f>+IFERROR(C37*D37,"")</f>
        <v>6.9999999999999993E-3</v>
      </c>
      <c r="F37" s="153"/>
    </row>
    <row r="38" spans="1:20" ht="21.6" customHeight="1" x14ac:dyDescent="0.25">
      <c r="A38" s="141" t="s">
        <v>39</v>
      </c>
      <c r="B38" s="141"/>
      <c r="C38" s="143"/>
      <c r="D38" s="143"/>
      <c r="E38" s="143"/>
      <c r="F38" s="143"/>
    </row>
    <row r="39" spans="1:20" ht="15.75" thickBot="1" x14ac:dyDescent="0.3">
      <c r="A39" s="142"/>
      <c r="B39" s="142"/>
      <c r="C39" s="144"/>
      <c r="D39" s="144"/>
      <c r="E39" s="144"/>
      <c r="F39" s="144"/>
    </row>
    <row r="41" spans="1:20" ht="15.75" thickBot="1" x14ac:dyDescent="0.3"/>
    <row r="42" spans="1:20" ht="24.75" thickBot="1" x14ac:dyDescent="0.45">
      <c r="A42" s="187" t="s">
        <v>51</v>
      </c>
      <c r="B42" s="188"/>
      <c r="C42" s="188"/>
      <c r="D42" s="188"/>
      <c r="E42" s="188"/>
      <c r="F42" s="189"/>
      <c r="R42" s="110"/>
      <c r="S42" s="110"/>
      <c r="T42" s="110"/>
    </row>
    <row r="43" spans="1:20" ht="16.5" thickBot="1" x14ac:dyDescent="0.3">
      <c r="A43" s="104" t="s">
        <v>11</v>
      </c>
      <c r="B43" s="104" t="s">
        <v>12</v>
      </c>
      <c r="C43" s="104" t="s">
        <v>13</v>
      </c>
      <c r="D43" s="104" t="s">
        <v>14</v>
      </c>
      <c r="E43" s="104" t="s">
        <v>41</v>
      </c>
      <c r="F43" s="104" t="s">
        <v>16</v>
      </c>
      <c r="R43" s="110"/>
      <c r="S43" s="110"/>
      <c r="T43" s="110"/>
    </row>
    <row r="44" spans="1:20" ht="105.75" thickBot="1" x14ac:dyDescent="0.3">
      <c r="A44" s="116">
        <v>1</v>
      </c>
      <c r="B44" s="105" t="s">
        <v>52</v>
      </c>
      <c r="C44" s="115" t="s">
        <v>18</v>
      </c>
      <c r="D44" s="128" t="s">
        <v>19</v>
      </c>
      <c r="E44" s="127" t="s">
        <v>384</v>
      </c>
      <c r="F44" s="126" t="s">
        <v>401</v>
      </c>
      <c r="Q44" s="80" t="s">
        <v>53</v>
      </c>
      <c r="R44" s="117" t="s">
        <v>21</v>
      </c>
      <c r="S44" s="117" t="s">
        <v>18</v>
      </c>
      <c r="T44" s="110"/>
    </row>
    <row r="45" spans="1:20" ht="60.75" thickBot="1" x14ac:dyDescent="0.3">
      <c r="A45" s="116">
        <v>2</v>
      </c>
      <c r="B45" s="105" t="s">
        <v>54</v>
      </c>
      <c r="C45" s="115" t="s">
        <v>18</v>
      </c>
      <c r="D45" s="128" t="s">
        <v>19</v>
      </c>
      <c r="E45" s="127" t="s">
        <v>384</v>
      </c>
      <c r="F45" s="126" t="s">
        <v>402</v>
      </c>
      <c r="Q45" s="111" t="s">
        <v>24</v>
      </c>
      <c r="R45" s="110">
        <f>+COUNTIF(C44:C49,R44)</f>
        <v>3</v>
      </c>
      <c r="S45" s="110">
        <f>+COUNTIF(C44:C49,S44)</f>
        <v>3</v>
      </c>
      <c r="T45" s="110"/>
    </row>
    <row r="46" spans="1:20" ht="60.75" thickBot="1" x14ac:dyDescent="0.3">
      <c r="A46" s="116">
        <v>3</v>
      </c>
      <c r="B46" s="105" t="s">
        <v>55</v>
      </c>
      <c r="C46" s="115" t="s">
        <v>21</v>
      </c>
      <c r="D46" s="128" t="s">
        <v>19</v>
      </c>
      <c r="E46" s="127" t="s">
        <v>403</v>
      </c>
      <c r="F46" s="126" t="s">
        <v>404</v>
      </c>
      <c r="Q46" s="111" t="s">
        <v>26</v>
      </c>
      <c r="R46" s="110">
        <f>+COUNTIFS(C44:C49,R44,D44:D49,"")</f>
        <v>0</v>
      </c>
      <c r="S46" s="110">
        <f>+COUNTIFS(C44:C49,S44,D44:D49,"")</f>
        <v>0</v>
      </c>
      <c r="T46" s="110"/>
    </row>
    <row r="47" spans="1:20" ht="105.75" thickBot="1" x14ac:dyDescent="0.3">
      <c r="A47" s="116">
        <v>4</v>
      </c>
      <c r="B47" s="105" t="s">
        <v>56</v>
      </c>
      <c r="C47" s="115" t="s">
        <v>21</v>
      </c>
      <c r="D47" s="128" t="s">
        <v>19</v>
      </c>
      <c r="E47" s="127" t="s">
        <v>384</v>
      </c>
      <c r="F47" s="126" t="s">
        <v>405</v>
      </c>
      <c r="Q47" s="111" t="s">
        <v>23</v>
      </c>
      <c r="R47" s="110">
        <f>+COUNTIFS(C44:C49,R44,D44:D49,Q47)</f>
        <v>0</v>
      </c>
      <c r="S47" s="110">
        <f>+COUNTIFS(C44:C49,S44,D44:D49,Q47)</f>
        <v>1</v>
      </c>
      <c r="T47" s="110"/>
    </row>
    <row r="48" spans="1:20" ht="45.75" thickBot="1" x14ac:dyDescent="0.3">
      <c r="A48" s="116">
        <v>5</v>
      </c>
      <c r="B48" s="105" t="s">
        <v>57</v>
      </c>
      <c r="C48" s="115" t="s">
        <v>18</v>
      </c>
      <c r="D48" s="128" t="s">
        <v>23</v>
      </c>
      <c r="E48" s="127" t="s">
        <v>406</v>
      </c>
      <c r="F48" s="126" t="s">
        <v>407</v>
      </c>
      <c r="Q48" s="111" t="s">
        <v>19</v>
      </c>
      <c r="R48" s="110">
        <f>+COUNTIFS(C44:C49,R44,D44:D49,Q48)</f>
        <v>3</v>
      </c>
      <c r="S48" s="110">
        <f>+COUNTIFS(C44:C49,S44,D44:D49,Q48)</f>
        <v>2</v>
      </c>
      <c r="T48" s="110"/>
    </row>
    <row r="49" spans="1:20" ht="45.75" thickBot="1" x14ac:dyDescent="0.3">
      <c r="A49" s="116">
        <v>6</v>
      </c>
      <c r="B49" s="105" t="s">
        <v>58</v>
      </c>
      <c r="C49" s="115" t="s">
        <v>21</v>
      </c>
      <c r="D49" s="128" t="s">
        <v>19</v>
      </c>
      <c r="E49" s="127" t="s">
        <v>384</v>
      </c>
      <c r="F49" s="126" t="s">
        <v>408</v>
      </c>
      <c r="Q49" s="109" t="str">
        <f>+A42</f>
        <v>Indicador: Aseguramiento Interno de la Calidad</v>
      </c>
      <c r="R49" s="140" t="str" cm="1">
        <f t="array" ref="R49">_xlfn.IFS(AND(R47=R45,S47=S45),'DATOS BÁSICOS'!$A$15,AND(R47=R45,S47&gt;0,S47&lt;S45),'DATOS BÁSICOS'!$A$16,AND(R47&gt;=1,S47&lt;=S45),'DATOS BÁSICOS'!$A$17,R47=0,'DATOS BÁSICOS'!$A$18)</f>
        <v>DEFICIENTE</v>
      </c>
      <c r="S49" s="140"/>
      <c r="T49" s="110"/>
    </row>
    <row r="50" spans="1:20" ht="19.5" thickBot="1" x14ac:dyDescent="0.3">
      <c r="A50" s="148" t="s">
        <v>36</v>
      </c>
      <c r="B50" s="149"/>
      <c r="C50" s="113" t="str" cm="1">
        <f t="array" ref="C50">+IFERROR(IF((R46+S46)&gt;0,"INGRESAR VALORACIÓN",_xlfn.IFS(AND(R47=R45,S47=S45),'DATOS BÁSICOS'!$A$15,AND(R47=R45,S47&lt;&gt;0,S47&lt;S45),'DATOS BÁSICOS'!$A$16,AND(R47&gt;=1,S47&lt;=S45),'DATOS BÁSICOS'!$A$17,R47=0,'DATOS BÁSICOS'!$A$18)),"RESULTADO NO DEFINIDO")</f>
        <v>DEFICIENTE</v>
      </c>
      <c r="D50" s="123" t="s">
        <v>37</v>
      </c>
      <c r="E50" s="103" t="s">
        <v>38</v>
      </c>
      <c r="F50" s="152"/>
    </row>
    <row r="51" spans="1:20" ht="24.75" thickBot="1" x14ac:dyDescent="0.3">
      <c r="A51" s="150"/>
      <c r="B51" s="151"/>
      <c r="C51" s="112">
        <f>+IFERROR(VLOOKUP(C50,VALORACIÓN_INDI[],4,0),"")</f>
        <v>0</v>
      </c>
      <c r="D51" s="102">
        <f>+VLOOKUP(Q44,PESOS!$BD$2:$BM$45,'INDICADORES CUALITATIVOS'!$S$7,0)</f>
        <v>0.03</v>
      </c>
      <c r="E51" s="101">
        <f>+IFERROR(C51*D51,"")</f>
        <v>0</v>
      </c>
      <c r="F51" s="153"/>
    </row>
    <row r="52" spans="1:20" x14ac:dyDescent="0.25">
      <c r="A52" s="141" t="s">
        <v>39</v>
      </c>
      <c r="B52" s="141"/>
      <c r="C52" s="143"/>
      <c r="D52" s="143"/>
      <c r="E52" s="143"/>
      <c r="F52" s="143"/>
    </row>
    <row r="53" spans="1:20" ht="15.75" thickBot="1" x14ac:dyDescent="0.3">
      <c r="A53" s="142"/>
      <c r="B53" s="142"/>
      <c r="C53" s="144"/>
      <c r="D53" s="144"/>
      <c r="E53" s="144"/>
      <c r="F53" s="144"/>
    </row>
    <row r="55" spans="1:20" ht="15.75" thickBot="1" x14ac:dyDescent="0.3"/>
    <row r="56" spans="1:20" ht="24.75" thickBot="1" x14ac:dyDescent="0.45">
      <c r="A56" s="187" t="s">
        <v>59</v>
      </c>
      <c r="B56" s="188"/>
      <c r="C56" s="188"/>
      <c r="D56" s="188"/>
      <c r="E56" s="188"/>
      <c r="F56" s="189"/>
    </row>
    <row r="57" spans="1:20" ht="16.5" thickBot="1" x14ac:dyDescent="0.3">
      <c r="A57" s="104" t="s">
        <v>11</v>
      </c>
      <c r="B57" s="104" t="s">
        <v>12</v>
      </c>
      <c r="C57" s="104" t="s">
        <v>13</v>
      </c>
      <c r="D57" s="104" t="s">
        <v>14</v>
      </c>
      <c r="E57" s="104" t="s">
        <v>41</v>
      </c>
      <c r="F57" s="104" t="s">
        <v>16</v>
      </c>
      <c r="R57" s="110"/>
      <c r="S57" s="110"/>
    </row>
    <row r="58" spans="1:20" ht="60.75" thickBot="1" x14ac:dyDescent="0.3">
      <c r="A58" s="116">
        <v>1</v>
      </c>
      <c r="B58" s="118" t="s">
        <v>60</v>
      </c>
      <c r="C58" s="115" t="s">
        <v>18</v>
      </c>
      <c r="D58" s="128" t="s">
        <v>19</v>
      </c>
      <c r="E58" s="127" t="s">
        <v>384</v>
      </c>
      <c r="F58" s="126" t="s">
        <v>409</v>
      </c>
      <c r="Q58" s="80" t="s">
        <v>61</v>
      </c>
      <c r="R58" s="117" t="s">
        <v>21</v>
      </c>
      <c r="S58" s="117" t="s">
        <v>18</v>
      </c>
    </row>
    <row r="59" spans="1:20" ht="75.75" thickBot="1" x14ac:dyDescent="0.3">
      <c r="A59" s="116">
        <v>2</v>
      </c>
      <c r="B59" s="105" t="s">
        <v>62</v>
      </c>
      <c r="C59" s="115" t="s">
        <v>21</v>
      </c>
      <c r="D59" s="128" t="s">
        <v>19</v>
      </c>
      <c r="E59" s="127" t="s">
        <v>384</v>
      </c>
      <c r="F59" s="126" t="s">
        <v>410</v>
      </c>
      <c r="Q59" s="111" t="s">
        <v>24</v>
      </c>
      <c r="R59" s="110">
        <f>+COUNTIF(C58:C65,R58)</f>
        <v>5</v>
      </c>
      <c r="S59" s="110">
        <f>+COUNTIF(C58:C65,S58)</f>
        <v>3</v>
      </c>
    </row>
    <row r="60" spans="1:20" ht="55.15" customHeight="1" thickBot="1" x14ac:dyDescent="0.3">
      <c r="A60" s="116">
        <v>3</v>
      </c>
      <c r="B60" s="105" t="s">
        <v>63</v>
      </c>
      <c r="C60" s="115" t="s">
        <v>21</v>
      </c>
      <c r="D60" s="128" t="s">
        <v>19</v>
      </c>
      <c r="E60" s="127" t="s">
        <v>384</v>
      </c>
      <c r="F60" s="126" t="s">
        <v>411</v>
      </c>
      <c r="Q60" s="111" t="s">
        <v>26</v>
      </c>
      <c r="R60" s="110">
        <f>+COUNTIFS(C58:C65,R58,D58:D65,"")</f>
        <v>0</v>
      </c>
      <c r="S60" s="110">
        <f>+COUNTIFS(C58:C65,S58,D58:D65,"")</f>
        <v>0</v>
      </c>
    </row>
    <row r="61" spans="1:20" ht="45.6" customHeight="1" thickBot="1" x14ac:dyDescent="0.3">
      <c r="A61" s="116">
        <v>4</v>
      </c>
      <c r="B61" s="105" t="s">
        <v>64</v>
      </c>
      <c r="C61" s="115" t="s">
        <v>21</v>
      </c>
      <c r="D61" s="128" t="s">
        <v>19</v>
      </c>
      <c r="E61" s="127" t="s">
        <v>412</v>
      </c>
      <c r="F61" s="126" t="s">
        <v>413</v>
      </c>
      <c r="Q61" s="111" t="s">
        <v>23</v>
      </c>
      <c r="R61" s="110">
        <f>+COUNTIFS(C58:C65,R58,D58:D65,Q61)</f>
        <v>0</v>
      </c>
      <c r="S61" s="110">
        <f>+COUNTIFS(C58:C65,S58,D58:D65,Q61)</f>
        <v>1</v>
      </c>
    </row>
    <row r="62" spans="1:20" ht="75.75" thickBot="1" x14ac:dyDescent="0.3">
      <c r="A62" s="116">
        <v>5</v>
      </c>
      <c r="B62" s="105" t="s">
        <v>65</v>
      </c>
      <c r="C62" s="115" t="s">
        <v>21</v>
      </c>
      <c r="D62" s="128" t="s">
        <v>19</v>
      </c>
      <c r="E62" s="127" t="s">
        <v>414</v>
      </c>
      <c r="F62" s="126" t="s">
        <v>415</v>
      </c>
      <c r="Q62" s="111" t="s">
        <v>19</v>
      </c>
      <c r="R62" s="110">
        <f>+COUNTIFS(C58:C65,R58,D58:D65,Q62)</f>
        <v>5</v>
      </c>
      <c r="S62" s="110">
        <f>+COUNTIFS(C58:C65,S58,D58:D65,Q62)</f>
        <v>2</v>
      </c>
    </row>
    <row r="63" spans="1:20" ht="135.75" thickBot="1" x14ac:dyDescent="0.3">
      <c r="A63" s="116">
        <v>6</v>
      </c>
      <c r="B63" s="105" t="s">
        <v>66</v>
      </c>
      <c r="C63" s="115" t="s">
        <v>18</v>
      </c>
      <c r="D63" s="128" t="s">
        <v>23</v>
      </c>
      <c r="E63" s="127" t="s">
        <v>416</v>
      </c>
      <c r="F63" s="126" t="s">
        <v>417</v>
      </c>
      <c r="Q63" s="109" t="str">
        <f>+A56</f>
        <v>Indicador: Sistema informático de gestión</v>
      </c>
      <c r="R63" s="140" t="str" cm="1">
        <f t="array" ref="R63">+IFERROR(IF((R60+S60)&gt;0,"INGRESAR VALORACIÓN",_xlfn.IFS(AND(R61=R59,S61=S59),'DATOS BÁSICOS'!$A$15,AND(R61=R59,S61&gt;0,S61&lt;S59),'DATOS BÁSICOS'!$A$16,AND(R61=1,S61&lt;S59),'DATOS BÁSICOS'!$A$17,R61=0,'DATOS BÁSICOS'!$A$18)),"RESULTADO NO DEFINIDO")</f>
        <v>DEFICIENTE</v>
      </c>
      <c r="S63" s="140"/>
    </row>
    <row r="64" spans="1:20" ht="60.75" thickBot="1" x14ac:dyDescent="0.3">
      <c r="A64" s="116">
        <v>7</v>
      </c>
      <c r="B64" s="105" t="s">
        <v>67</v>
      </c>
      <c r="C64" s="115" t="s">
        <v>18</v>
      </c>
      <c r="D64" s="128" t="s">
        <v>19</v>
      </c>
      <c r="E64" s="127" t="s">
        <v>384</v>
      </c>
      <c r="F64" s="126" t="s">
        <v>418</v>
      </c>
    </row>
    <row r="65" spans="1:19" ht="120.75" thickBot="1" x14ac:dyDescent="0.3">
      <c r="A65" s="116">
        <v>8</v>
      </c>
      <c r="B65" s="105" t="s">
        <v>68</v>
      </c>
      <c r="C65" s="115" t="s">
        <v>21</v>
      </c>
      <c r="D65" s="128" t="s">
        <v>19</v>
      </c>
      <c r="E65" s="127" t="s">
        <v>419</v>
      </c>
      <c r="F65" s="126" t="s">
        <v>420</v>
      </c>
    </row>
    <row r="66" spans="1:19" ht="18.75" x14ac:dyDescent="0.25">
      <c r="A66" s="148" t="s">
        <v>36</v>
      </c>
      <c r="B66" s="149"/>
      <c r="C66" s="113" t="str" cm="1">
        <f t="array" ref="C66">+IFERROR(IF((R60+S60)&gt;0,"INGRESAR VALORACIÓN",_xlfn.IFS(AND(R61=R59,S61=S59),'DATOS BÁSICOS'!$A$15,AND(R61=R59,S61&lt;&gt;0,S61&lt;S59),'DATOS BÁSICOS'!$A$16,AND(R61&gt;=1,S61&lt;=S59),'DATOS BÁSICOS'!$A$17,R61=0,'DATOS BÁSICOS'!$A$18)),"RESULTADO NO DEFINIDO")</f>
        <v>DEFICIENTE</v>
      </c>
      <c r="D66" s="103" t="s">
        <v>37</v>
      </c>
      <c r="E66" s="103" t="s">
        <v>38</v>
      </c>
      <c r="F66" s="152"/>
    </row>
    <row r="67" spans="1:19" ht="24.75" thickBot="1" x14ac:dyDescent="0.3">
      <c r="A67" s="150"/>
      <c r="B67" s="151"/>
      <c r="C67" s="112">
        <f>+IFERROR(VLOOKUP(C66,VALORACIÓN_INDI[],4,0),"")</f>
        <v>0</v>
      </c>
      <c r="D67" s="102">
        <f>+VLOOKUP(Q58,PESOS!$BD$2:$BM$45,'INDICADORES CUALITATIVOS'!$S$7,0)</f>
        <v>0.03</v>
      </c>
      <c r="E67" s="101">
        <f>+IFERROR(C67*D67,"")</f>
        <v>0</v>
      </c>
      <c r="F67" s="153"/>
    </row>
    <row r="68" spans="1:19" x14ac:dyDescent="0.25">
      <c r="A68" s="141" t="s">
        <v>39</v>
      </c>
      <c r="B68" s="141"/>
      <c r="C68" s="143"/>
      <c r="D68" s="143"/>
      <c r="E68" s="143"/>
      <c r="F68" s="143"/>
    </row>
    <row r="69" spans="1:19" ht="15.75" thickBot="1" x14ac:dyDescent="0.3">
      <c r="A69" s="142"/>
      <c r="B69" s="142"/>
      <c r="C69" s="144"/>
      <c r="D69" s="144"/>
      <c r="E69" s="144"/>
      <c r="F69" s="144"/>
    </row>
    <row r="70" spans="1:19" ht="15.75" thickBot="1" x14ac:dyDescent="0.3"/>
    <row r="71" spans="1:19" ht="24.75" thickBot="1" x14ac:dyDescent="0.45">
      <c r="A71" s="190" t="s">
        <v>69</v>
      </c>
      <c r="B71" s="191"/>
      <c r="C71" s="191"/>
      <c r="D71" s="191"/>
      <c r="E71" s="191"/>
      <c r="F71" s="192"/>
    </row>
    <row r="72" spans="1:19" ht="24.75" thickBot="1" x14ac:dyDescent="0.45">
      <c r="A72" s="199" t="s">
        <v>70</v>
      </c>
      <c r="B72" s="200"/>
      <c r="C72" s="200"/>
      <c r="D72" s="200"/>
      <c r="E72" s="200"/>
      <c r="F72" s="201"/>
      <c r="R72" s="110"/>
      <c r="S72" s="110"/>
    </row>
    <row r="73" spans="1:19" ht="16.5" thickBot="1" x14ac:dyDescent="0.3">
      <c r="A73" s="104" t="s">
        <v>11</v>
      </c>
      <c r="B73" s="104" t="s">
        <v>12</v>
      </c>
      <c r="C73" s="104" t="s">
        <v>13</v>
      </c>
      <c r="D73" s="104" t="s">
        <v>14</v>
      </c>
      <c r="E73" s="104" t="s">
        <v>41</v>
      </c>
      <c r="F73" s="104" t="s">
        <v>16</v>
      </c>
      <c r="R73" s="110"/>
      <c r="S73" s="110"/>
    </row>
    <row r="74" spans="1:19" ht="90.75" thickBot="1" x14ac:dyDescent="0.3">
      <c r="A74" s="116">
        <v>1</v>
      </c>
      <c r="B74" s="105" t="s">
        <v>71</v>
      </c>
      <c r="C74" s="115" t="s">
        <v>18</v>
      </c>
      <c r="D74" s="128" t="s">
        <v>23</v>
      </c>
      <c r="E74" s="127" t="s">
        <v>421</v>
      </c>
      <c r="F74" s="126" t="s">
        <v>422</v>
      </c>
      <c r="Q74" s="80" t="s">
        <v>72</v>
      </c>
      <c r="R74" s="117" t="s">
        <v>21</v>
      </c>
      <c r="S74" s="117" t="s">
        <v>18</v>
      </c>
    </row>
    <row r="75" spans="1:19" ht="60.75" thickBot="1" x14ac:dyDescent="0.3">
      <c r="A75" s="116">
        <v>2</v>
      </c>
      <c r="B75" s="105" t="s">
        <v>73</v>
      </c>
      <c r="C75" s="115" t="s">
        <v>18</v>
      </c>
      <c r="D75" s="128" t="s">
        <v>19</v>
      </c>
      <c r="E75" s="127" t="s">
        <v>423</v>
      </c>
      <c r="F75" s="126" t="s">
        <v>424</v>
      </c>
      <c r="Q75" s="111" t="s">
        <v>24</v>
      </c>
      <c r="R75" s="110">
        <f>+COUNTIF(C74:C78,R74)</f>
        <v>2</v>
      </c>
      <c r="S75" s="110">
        <f>+COUNTIF(C74:C78,S74)</f>
        <v>3</v>
      </c>
    </row>
    <row r="76" spans="1:19" ht="105.75" thickBot="1" x14ac:dyDescent="0.3">
      <c r="A76" s="116">
        <v>3</v>
      </c>
      <c r="B76" s="105" t="s">
        <v>74</v>
      </c>
      <c r="C76" s="115" t="s">
        <v>21</v>
      </c>
      <c r="D76" s="128" t="s">
        <v>19</v>
      </c>
      <c r="E76" s="127" t="s">
        <v>425</v>
      </c>
      <c r="F76" s="126" t="s">
        <v>426</v>
      </c>
      <c r="Q76" s="111" t="s">
        <v>26</v>
      </c>
      <c r="R76" s="110">
        <f>+COUNTIFS(C74:C78,R74,D74:D78,"")</f>
        <v>0</v>
      </c>
      <c r="S76" s="110">
        <f>+COUNTIFS(C74:C78,S74,D74:D78,"")</f>
        <v>0</v>
      </c>
    </row>
    <row r="77" spans="1:19" ht="210.75" thickBot="1" x14ac:dyDescent="0.3">
      <c r="A77" s="116">
        <v>4</v>
      </c>
      <c r="B77" s="105" t="s">
        <v>75</v>
      </c>
      <c r="C77" s="115" t="s">
        <v>21</v>
      </c>
      <c r="D77" s="128" t="s">
        <v>19</v>
      </c>
      <c r="E77" s="127" t="s">
        <v>427</v>
      </c>
      <c r="F77" s="126" t="s">
        <v>428</v>
      </c>
      <c r="Q77" s="111" t="s">
        <v>23</v>
      </c>
      <c r="R77" s="110">
        <f>+COUNTIFS(C74:C78,R74,D74:D78,Q77)</f>
        <v>0</v>
      </c>
      <c r="S77" s="110">
        <f>+COUNTIFS(C74:C78,S74,D74:D78,Q77)</f>
        <v>1</v>
      </c>
    </row>
    <row r="78" spans="1:19" ht="120.75" thickBot="1" x14ac:dyDescent="0.3">
      <c r="A78" s="116">
        <v>5</v>
      </c>
      <c r="B78" s="105" t="s">
        <v>76</v>
      </c>
      <c r="C78" s="115" t="s">
        <v>18</v>
      </c>
      <c r="D78" s="128" t="s">
        <v>19</v>
      </c>
      <c r="E78" s="127" t="s">
        <v>429</v>
      </c>
      <c r="F78" s="126" t="s">
        <v>430</v>
      </c>
      <c r="Q78" s="111" t="s">
        <v>19</v>
      </c>
      <c r="R78" s="110">
        <f>+COUNTIFS(C74:C78,R74,D74:D78,Q78)</f>
        <v>2</v>
      </c>
      <c r="S78" s="110">
        <f>+COUNTIFS(C74:C78,S74,D74:D78,Q78)</f>
        <v>2</v>
      </c>
    </row>
    <row r="79" spans="1:19" ht="19.5" thickBot="1" x14ac:dyDescent="0.3">
      <c r="A79" s="148" t="s">
        <v>36</v>
      </c>
      <c r="B79" s="149"/>
      <c r="C79" s="113" t="str" cm="1">
        <f t="array" ref="C79">+IFERROR(IF((R76+S76)&gt;0,"INGRESAR VALORACIÓN",_xlfn.IFS(AND(R77=R75,S77=S75),'DATOS BÁSICOS'!$A$15,AND(R77=R75,S77&lt;&gt;0,S77&lt;S75),'DATOS BÁSICOS'!$A$16,AND(R77&gt;=1,S77&lt;=S75),'DATOS BÁSICOS'!$A$17,R77=0,'DATOS BÁSICOS'!$A$18)),"RESULTADO NO DEFINIDO")</f>
        <v>DEFICIENTE</v>
      </c>
      <c r="D79" s="123" t="s">
        <v>37</v>
      </c>
      <c r="E79" s="103" t="s">
        <v>38</v>
      </c>
      <c r="F79" s="152"/>
      <c r="Q79" s="109" t="str">
        <f>+A72</f>
        <v>Indicador: Igualdad de oportunidades</v>
      </c>
      <c r="R79" s="140" t="str" cm="1">
        <f t="array" ref="R79">_xlfn.IFS(AND(R77=R75,S77=S75),'DATOS BÁSICOS'!$A$15,AND(R77=R75,S77&gt;0,S77&lt;S75),'DATOS BÁSICOS'!$A$16,AND(R77&gt;=1,S77&lt;=S75),'DATOS BÁSICOS'!$A$17,R77=0,'DATOS BÁSICOS'!$A$18)</f>
        <v>DEFICIENTE</v>
      </c>
      <c r="S79" s="140"/>
    </row>
    <row r="80" spans="1:19" ht="24.75" thickBot="1" x14ac:dyDescent="0.3">
      <c r="A80" s="150"/>
      <c r="B80" s="151"/>
      <c r="C80" s="112">
        <f>+IFERROR(VLOOKUP(C79,VALORACIÓN_INDI[],4,0),"")</f>
        <v>0</v>
      </c>
      <c r="D80" s="102">
        <f>+VLOOKUP(Q74,PESOS!$BD$2:$BM$45,'INDICADORES CUALITATIVOS'!$S$7,0)</f>
        <v>0.03</v>
      </c>
      <c r="E80" s="101">
        <f>+IFERROR(C80*D80,"")</f>
        <v>0</v>
      </c>
      <c r="F80" s="153"/>
    </row>
    <row r="81" spans="1:19" x14ac:dyDescent="0.25">
      <c r="A81" s="141" t="s">
        <v>39</v>
      </c>
      <c r="B81" s="141"/>
      <c r="C81" s="143"/>
      <c r="D81" s="143"/>
      <c r="E81" s="143"/>
      <c r="F81" s="143"/>
    </row>
    <row r="82" spans="1:19" ht="15.75" thickBot="1" x14ac:dyDescent="0.3">
      <c r="A82" s="142"/>
      <c r="B82" s="142"/>
      <c r="C82" s="144"/>
      <c r="D82" s="144"/>
      <c r="E82" s="144"/>
      <c r="F82" s="144"/>
    </row>
    <row r="83" spans="1:19" ht="15.75" thickBot="1" x14ac:dyDescent="0.3"/>
    <row r="84" spans="1:19" ht="24.75" thickBot="1" x14ac:dyDescent="0.45">
      <c r="A84" s="190" t="s">
        <v>77</v>
      </c>
      <c r="B84" s="191"/>
      <c r="C84" s="191"/>
      <c r="D84" s="191"/>
      <c r="E84" s="191"/>
      <c r="F84" s="192"/>
      <c r="R84" s="110"/>
      <c r="S84" s="110"/>
    </row>
    <row r="85" spans="1:19" ht="16.5" thickBot="1" x14ac:dyDescent="0.3">
      <c r="A85" s="104" t="s">
        <v>11</v>
      </c>
      <c r="B85" s="104" t="s">
        <v>12</v>
      </c>
      <c r="C85" s="104" t="s">
        <v>13</v>
      </c>
      <c r="D85" s="104" t="s">
        <v>14</v>
      </c>
      <c r="E85" s="104" t="s">
        <v>41</v>
      </c>
      <c r="F85" s="104" t="s">
        <v>16</v>
      </c>
      <c r="R85" s="110"/>
      <c r="S85" s="110"/>
    </row>
    <row r="86" spans="1:19" ht="120.75" thickBot="1" x14ac:dyDescent="0.3">
      <c r="A86" s="116">
        <v>1</v>
      </c>
      <c r="B86" s="105" t="s">
        <v>78</v>
      </c>
      <c r="C86" s="115" t="s">
        <v>21</v>
      </c>
      <c r="D86" s="128" t="s">
        <v>19</v>
      </c>
      <c r="E86" s="127" t="s">
        <v>423</v>
      </c>
      <c r="F86" s="126" t="s">
        <v>431</v>
      </c>
      <c r="Q86" s="120" t="s">
        <v>79</v>
      </c>
      <c r="R86" s="117" t="s">
        <v>21</v>
      </c>
      <c r="S86" s="117" t="s">
        <v>18</v>
      </c>
    </row>
    <row r="87" spans="1:19" ht="90.75" thickBot="1" x14ac:dyDescent="0.3">
      <c r="A87" s="116">
        <v>2</v>
      </c>
      <c r="B87" s="105" t="s">
        <v>80</v>
      </c>
      <c r="C87" s="115" t="s">
        <v>21</v>
      </c>
      <c r="D87" s="128" t="s">
        <v>19</v>
      </c>
      <c r="E87" s="127" t="s">
        <v>432</v>
      </c>
      <c r="F87" s="126" t="s">
        <v>433</v>
      </c>
      <c r="Q87" s="111" t="s">
        <v>24</v>
      </c>
      <c r="R87" s="110">
        <f>+COUNTIF(C86:C98,R86)</f>
        <v>5</v>
      </c>
      <c r="S87" s="110">
        <f>+COUNTIF(C86:C98,S86)</f>
        <v>8</v>
      </c>
    </row>
    <row r="88" spans="1:19" ht="60.75" thickBot="1" x14ac:dyDescent="0.3">
      <c r="A88" s="116">
        <v>3</v>
      </c>
      <c r="B88" s="105" t="s">
        <v>81</v>
      </c>
      <c r="C88" s="115" t="s">
        <v>18</v>
      </c>
      <c r="D88" s="128" t="s">
        <v>19</v>
      </c>
      <c r="E88" s="127" t="s">
        <v>423</v>
      </c>
      <c r="F88" s="126" t="s">
        <v>434</v>
      </c>
      <c r="Q88" s="111" t="s">
        <v>26</v>
      </c>
      <c r="R88" s="110">
        <f>+COUNTIFS(C86:C98,R86,D86:D98,"")</f>
        <v>0</v>
      </c>
      <c r="S88" s="110">
        <f>+COUNTIFS(C86:C98,S86,D86:D98,"")</f>
        <v>0</v>
      </c>
    </row>
    <row r="89" spans="1:19" ht="90.75" thickBot="1" x14ac:dyDescent="0.3">
      <c r="A89" s="116">
        <v>4</v>
      </c>
      <c r="B89" s="105" t="s">
        <v>82</v>
      </c>
      <c r="C89" s="115" t="s">
        <v>18</v>
      </c>
      <c r="D89" s="128" t="s">
        <v>19</v>
      </c>
      <c r="E89" s="127" t="s">
        <v>435</v>
      </c>
      <c r="F89" s="126" t="s">
        <v>436</v>
      </c>
      <c r="Q89" s="111" t="s">
        <v>23</v>
      </c>
      <c r="R89" s="110">
        <f>+COUNTIFS(C86:C98,R86,D86:D98,Q89)</f>
        <v>2</v>
      </c>
      <c r="S89" s="110">
        <f>+COUNTIFS(C86:C98,S86,D86:D98,Q89)</f>
        <v>2</v>
      </c>
    </row>
    <row r="90" spans="1:19" ht="60.75" thickBot="1" x14ac:dyDescent="0.3">
      <c r="A90" s="116">
        <v>5</v>
      </c>
      <c r="B90" s="105" t="s">
        <v>83</v>
      </c>
      <c r="C90" s="115" t="s">
        <v>18</v>
      </c>
      <c r="D90" s="128" t="s">
        <v>23</v>
      </c>
      <c r="E90" s="127" t="s">
        <v>437</v>
      </c>
      <c r="F90" s="126" t="s">
        <v>438</v>
      </c>
      <c r="Q90" s="111" t="s">
        <v>19</v>
      </c>
      <c r="R90" s="110">
        <f>+COUNTIFS(C86:C98,R86,D86:D98,Q90)</f>
        <v>3</v>
      </c>
      <c r="S90" s="110">
        <f>+COUNTIFS(C86:C98,S86,D86:D98,Q90)</f>
        <v>6</v>
      </c>
    </row>
    <row r="91" spans="1:19" ht="45.75" thickBot="1" x14ac:dyDescent="0.3">
      <c r="A91" s="116">
        <v>6</v>
      </c>
      <c r="B91" s="105" t="s">
        <v>84</v>
      </c>
      <c r="C91" s="115" t="s">
        <v>21</v>
      </c>
      <c r="D91" s="128" t="s">
        <v>23</v>
      </c>
      <c r="E91" s="127" t="s">
        <v>385</v>
      </c>
      <c r="F91" s="126" t="s">
        <v>444</v>
      </c>
      <c r="Q91" s="109" t="str">
        <f>+A84</f>
        <v>Indicador: Ética y transparencia</v>
      </c>
      <c r="R91" s="140" t="str" cm="1">
        <f t="array" ref="R91">_xlfn.IFS(AND(R89=R87,S89=S87),'DATOS BÁSICOS'!$A$15,AND(R89=R87,S89&gt;0,S89&lt;S87),'DATOS BÁSICOS'!$A$16,AND(R89&gt;=1,S89&lt;=S87),'DATOS BÁSICOS'!$A$17,R89=0,'DATOS BÁSICOS'!$A$18)</f>
        <v>POCO-SATISFACTORIO</v>
      </c>
      <c r="S91" s="140"/>
    </row>
    <row r="92" spans="1:19" ht="30.75" thickBot="1" x14ac:dyDescent="0.3">
      <c r="A92" s="116">
        <v>7</v>
      </c>
      <c r="B92" s="105" t="s">
        <v>85</v>
      </c>
      <c r="C92" s="115" t="s">
        <v>21</v>
      </c>
      <c r="D92" s="128" t="s">
        <v>23</v>
      </c>
      <c r="E92" s="127" t="s">
        <v>385</v>
      </c>
      <c r="F92" s="126" t="s">
        <v>444</v>
      </c>
    </row>
    <row r="93" spans="1:19" ht="21.75" thickBot="1" x14ac:dyDescent="0.3">
      <c r="A93" s="116">
        <v>8</v>
      </c>
      <c r="B93" s="105" t="s">
        <v>86</v>
      </c>
      <c r="C93" s="115" t="s">
        <v>18</v>
      </c>
      <c r="D93" s="128" t="s">
        <v>23</v>
      </c>
      <c r="E93" s="127" t="s">
        <v>385</v>
      </c>
      <c r="F93" s="126" t="s">
        <v>444</v>
      </c>
    </row>
    <row r="94" spans="1:19" ht="45.75" thickBot="1" x14ac:dyDescent="0.3">
      <c r="A94" s="116">
        <v>9</v>
      </c>
      <c r="B94" s="105" t="s">
        <v>87</v>
      </c>
      <c r="C94" s="115" t="s">
        <v>18</v>
      </c>
      <c r="D94" s="128" t="s">
        <v>19</v>
      </c>
      <c r="E94" s="127" t="s">
        <v>423</v>
      </c>
      <c r="F94" s="126" t="s">
        <v>439</v>
      </c>
    </row>
    <row r="95" spans="1:19" ht="75.75" thickBot="1" x14ac:dyDescent="0.3">
      <c r="A95" s="116">
        <v>10</v>
      </c>
      <c r="B95" s="105" t="s">
        <v>88</v>
      </c>
      <c r="C95" s="115" t="s">
        <v>18</v>
      </c>
      <c r="D95" s="128" t="s">
        <v>19</v>
      </c>
      <c r="E95" s="127" t="s">
        <v>423</v>
      </c>
      <c r="F95" s="126" t="s">
        <v>440</v>
      </c>
    </row>
    <row r="96" spans="1:19" ht="60.75" thickBot="1" x14ac:dyDescent="0.3">
      <c r="A96" s="116">
        <v>11</v>
      </c>
      <c r="B96" s="105" t="s">
        <v>89</v>
      </c>
      <c r="C96" s="115" t="s">
        <v>18</v>
      </c>
      <c r="D96" s="128" t="s">
        <v>19</v>
      </c>
      <c r="E96" s="127" t="s">
        <v>423</v>
      </c>
      <c r="F96" s="126" t="s">
        <v>441</v>
      </c>
    </row>
    <row r="97" spans="1:19" ht="60.75" thickBot="1" x14ac:dyDescent="0.3">
      <c r="A97" s="116">
        <v>12</v>
      </c>
      <c r="B97" s="105" t="s">
        <v>90</v>
      </c>
      <c r="C97" s="115" t="s">
        <v>21</v>
      </c>
      <c r="D97" s="128" t="s">
        <v>19</v>
      </c>
      <c r="E97" s="127" t="s">
        <v>423</v>
      </c>
      <c r="F97" s="126" t="s">
        <v>442</v>
      </c>
    </row>
    <row r="98" spans="1:19" ht="45.75" thickBot="1" x14ac:dyDescent="0.3">
      <c r="A98" s="116">
        <v>13</v>
      </c>
      <c r="B98" s="105" t="s">
        <v>91</v>
      </c>
      <c r="C98" s="115" t="s">
        <v>18</v>
      </c>
      <c r="D98" s="128" t="s">
        <v>19</v>
      </c>
      <c r="E98" s="127" t="s">
        <v>423</v>
      </c>
      <c r="F98" s="126" t="s">
        <v>443</v>
      </c>
    </row>
    <row r="99" spans="1:19" ht="19.5" thickBot="1" x14ac:dyDescent="0.3">
      <c r="A99" s="148" t="s">
        <v>36</v>
      </c>
      <c r="B99" s="149"/>
      <c r="C99" s="113" t="str" cm="1">
        <f t="array" ref="C99">+IFERROR(IF((R88+S88)&gt;0,"INGRESAR VALORACIÓN",_xlfn.IFS(AND(R89=R87,S89=S87),'DATOS BÁSICOS'!$A$15,AND(R89=R87,S89&lt;&gt;0,S89&lt;S87),'DATOS BÁSICOS'!$A$16,AND(R89&gt;=1,S89&lt;=S87),'DATOS BÁSICOS'!$A$17,R89=0,'DATOS BÁSICOS'!$A$18)),"RESULTADO NO DEFINIDO")</f>
        <v>POCO-SATISFACTORIO</v>
      </c>
      <c r="D99" s="123" t="s">
        <v>37</v>
      </c>
      <c r="E99" s="103" t="s">
        <v>38</v>
      </c>
      <c r="F99" s="152"/>
    </row>
    <row r="100" spans="1:19" ht="24.75" thickBot="1" x14ac:dyDescent="0.3">
      <c r="A100" s="150"/>
      <c r="B100" s="151"/>
      <c r="C100" s="112">
        <f>+IFERROR(VLOOKUP(C99,VALORACIÓN_INDI[],4,0),"")</f>
        <v>0.35</v>
      </c>
      <c r="D100" s="102">
        <f>+VLOOKUP(Q86,PESOS!$BD$2:$BM$45,'INDICADORES CUALITATIVOS'!$S$7,0)</f>
        <v>0.03</v>
      </c>
      <c r="E100" s="101">
        <f>+IFERROR(C100*D100,"")</f>
        <v>1.0499999999999999E-2</v>
      </c>
      <c r="F100" s="153"/>
    </row>
    <row r="101" spans="1:19" x14ac:dyDescent="0.25">
      <c r="A101" s="141" t="s">
        <v>39</v>
      </c>
      <c r="B101" s="141"/>
      <c r="C101" s="143"/>
      <c r="D101" s="143"/>
      <c r="E101" s="143"/>
      <c r="F101" s="143"/>
    </row>
    <row r="102" spans="1:19" ht="15.75" thickBot="1" x14ac:dyDescent="0.3">
      <c r="A102" s="142"/>
      <c r="B102" s="142"/>
      <c r="C102" s="144"/>
      <c r="D102" s="144"/>
      <c r="E102" s="144"/>
      <c r="F102" s="144"/>
    </row>
    <row r="103" spans="1:19" ht="15.75" thickBot="1" x14ac:dyDescent="0.3"/>
    <row r="104" spans="1:19" ht="24.75" thickBot="1" x14ac:dyDescent="0.45">
      <c r="A104" s="190" t="s">
        <v>92</v>
      </c>
      <c r="B104" s="191"/>
      <c r="C104" s="191"/>
      <c r="D104" s="191"/>
      <c r="E104" s="191"/>
      <c r="F104" s="192"/>
      <c r="R104" s="110"/>
      <c r="S104" s="110"/>
    </row>
    <row r="105" spans="1:19" ht="16.5" thickBot="1" x14ac:dyDescent="0.3">
      <c r="A105" s="104" t="s">
        <v>11</v>
      </c>
      <c r="B105" s="104" t="s">
        <v>12</v>
      </c>
      <c r="C105" s="104" t="s">
        <v>13</v>
      </c>
      <c r="D105" s="104" t="s">
        <v>14</v>
      </c>
      <c r="E105" s="104" t="s">
        <v>41</v>
      </c>
      <c r="F105" s="104" t="s">
        <v>16</v>
      </c>
      <c r="R105" s="110"/>
      <c r="S105" s="110"/>
    </row>
    <row r="106" spans="1:19" ht="409.6" thickBot="1" x14ac:dyDescent="0.3">
      <c r="A106" s="116">
        <v>1</v>
      </c>
      <c r="B106" s="105" t="s">
        <v>93</v>
      </c>
      <c r="C106" s="115" t="s">
        <v>18</v>
      </c>
      <c r="D106" s="114" t="s">
        <v>19</v>
      </c>
      <c r="E106" s="128" t="s">
        <v>19</v>
      </c>
      <c r="F106" s="127" t="s">
        <v>429</v>
      </c>
      <c r="G106" s="126" t="s">
        <v>445</v>
      </c>
      <c r="Q106" s="80" t="s">
        <v>94</v>
      </c>
      <c r="R106" s="117" t="s">
        <v>21</v>
      </c>
      <c r="S106" s="117" t="s">
        <v>18</v>
      </c>
    </row>
    <row r="107" spans="1:19" ht="409.6" thickBot="1" x14ac:dyDescent="0.3">
      <c r="A107" s="116">
        <v>2</v>
      </c>
      <c r="B107" s="105" t="s">
        <v>95</v>
      </c>
      <c r="C107" s="115" t="s">
        <v>21</v>
      </c>
      <c r="D107" s="114" t="s">
        <v>19</v>
      </c>
      <c r="E107" s="128" t="s">
        <v>19</v>
      </c>
      <c r="F107" s="127" t="s">
        <v>446</v>
      </c>
      <c r="G107" s="126" t="s">
        <v>447</v>
      </c>
      <c r="Q107" s="111" t="s">
        <v>24</v>
      </c>
      <c r="R107" s="110">
        <f>+COUNTIF(C106:C110,R106)</f>
        <v>3</v>
      </c>
      <c r="S107" s="110">
        <f>+COUNTIF(C106:C110,S106)</f>
        <v>2</v>
      </c>
    </row>
    <row r="108" spans="1:19" ht="409.6" thickBot="1" x14ac:dyDescent="0.3">
      <c r="A108" s="116">
        <v>3</v>
      </c>
      <c r="B108" s="105" t="s">
        <v>96</v>
      </c>
      <c r="C108" s="115" t="s">
        <v>21</v>
      </c>
      <c r="D108" s="114" t="s">
        <v>23</v>
      </c>
      <c r="E108" s="128" t="s">
        <v>19</v>
      </c>
      <c r="F108" s="127" t="s">
        <v>448</v>
      </c>
      <c r="G108" s="126" t="s">
        <v>449</v>
      </c>
      <c r="Q108" s="111" t="s">
        <v>26</v>
      </c>
      <c r="R108" s="110">
        <f>+COUNTIFS(C106:C110,R106,D106:D110,"")</f>
        <v>0</v>
      </c>
      <c r="S108" s="110">
        <f>+COUNTIFS(C106:C110,S106,D106:D110,"")</f>
        <v>0</v>
      </c>
    </row>
    <row r="109" spans="1:19" ht="409.6" thickBot="1" x14ac:dyDescent="0.3">
      <c r="A109" s="116">
        <v>4</v>
      </c>
      <c r="B109" s="105" t="s">
        <v>97</v>
      </c>
      <c r="C109" s="115" t="s">
        <v>21</v>
      </c>
      <c r="D109" s="114" t="s">
        <v>23</v>
      </c>
      <c r="E109" s="128" t="s">
        <v>19</v>
      </c>
      <c r="F109" s="127" t="s">
        <v>450</v>
      </c>
      <c r="G109" s="126" t="s">
        <v>451</v>
      </c>
      <c r="Q109" s="111" t="s">
        <v>23</v>
      </c>
      <c r="R109" s="110">
        <f>+COUNTIFS(C106:C110,R106,D106:D110,Q109)</f>
        <v>2</v>
      </c>
      <c r="S109" s="110">
        <f>+COUNTIFS(C106:C110,S106,D106:D110,Q109)</f>
        <v>1</v>
      </c>
    </row>
    <row r="110" spans="1:19" ht="409.6" thickBot="1" x14ac:dyDescent="0.3">
      <c r="A110" s="116">
        <v>5</v>
      </c>
      <c r="B110" s="105" t="s">
        <v>98</v>
      </c>
      <c r="C110" s="115" t="s">
        <v>18</v>
      </c>
      <c r="D110" s="114" t="s">
        <v>23</v>
      </c>
      <c r="E110" s="128" t="s">
        <v>23</v>
      </c>
      <c r="F110" s="127" t="s">
        <v>452</v>
      </c>
      <c r="G110" s="126" t="s">
        <v>453</v>
      </c>
      <c r="Q110" s="111" t="s">
        <v>19</v>
      </c>
      <c r="R110" s="110">
        <f>+COUNTIFS(C106:C110,R106,D106:D110,Q110)</f>
        <v>1</v>
      </c>
      <c r="S110" s="110">
        <f>+COUNTIFS(C106:C110,S106,D106:D110,Q110)</f>
        <v>1</v>
      </c>
    </row>
    <row r="111" spans="1:19" ht="19.5" thickBot="1" x14ac:dyDescent="0.3">
      <c r="A111" s="148" t="s">
        <v>36</v>
      </c>
      <c r="B111" s="149"/>
      <c r="C111" s="113" t="str" cm="1">
        <f t="array" ref="C111">+IFERROR(IF((R108+S108)&gt;0,"INGRESAR VALORACIÓN",_xlfn.IFS(AND(R109=R107,S109=S107),'DATOS BÁSICOS'!$A$15,AND(R109=R107,S109&lt;&gt;0,S109&lt;S107),'DATOS BÁSICOS'!$A$16,AND(R109&gt;=1,S109&lt;=S107),'DATOS BÁSICOS'!$A$17,R109=0,'DATOS BÁSICOS'!$A$18)),"RESULTADO NO DEFINIDO")</f>
        <v>POCO-SATISFACTORIO</v>
      </c>
      <c r="D111" s="123" t="s">
        <v>37</v>
      </c>
      <c r="E111" s="103" t="s">
        <v>38</v>
      </c>
      <c r="F111" s="152"/>
      <c r="Q111" s="109" t="str">
        <f>+A104</f>
        <v xml:space="preserve">Indicador: Bienestar psicológico </v>
      </c>
      <c r="R111" s="140" t="str" cm="1">
        <f t="array" ref="R111">_xlfn.IFS(AND(R109=R107,S109=S107),'DATOS BÁSICOS'!$A$15,AND(R109=R107,S109&gt;0,S109&lt;S107),'DATOS BÁSICOS'!$A$16,AND(R109&gt;=1,S109&lt;=S107),'DATOS BÁSICOS'!$A$17,R109=0,'DATOS BÁSICOS'!$A$18)</f>
        <v>POCO-SATISFACTORIO</v>
      </c>
      <c r="S111" s="140"/>
    </row>
    <row r="112" spans="1:19" ht="24.75" thickBot="1" x14ac:dyDescent="0.3">
      <c r="A112" s="150"/>
      <c r="B112" s="151"/>
      <c r="C112" s="112">
        <f>+IFERROR(VLOOKUP(C111,VALORACIÓN_INDI[],4,0),"")</f>
        <v>0.35</v>
      </c>
      <c r="D112" s="102">
        <f>+VLOOKUP(Q106,PESOS!$BD$2:$BM$45,'INDICADORES CUALITATIVOS'!$S$7,0)</f>
        <v>0.03</v>
      </c>
      <c r="E112" s="101">
        <f>+IFERROR(C112*D112,"")</f>
        <v>1.0499999999999999E-2</v>
      </c>
      <c r="F112" s="153"/>
    </row>
    <row r="113" spans="1:19" x14ac:dyDescent="0.25">
      <c r="A113" s="141" t="s">
        <v>39</v>
      </c>
      <c r="B113" s="141"/>
      <c r="C113" s="143"/>
      <c r="D113" s="143"/>
      <c r="E113" s="143"/>
      <c r="F113" s="143"/>
    </row>
    <row r="114" spans="1:19" ht="15.75" thickBot="1" x14ac:dyDescent="0.3">
      <c r="A114" s="142"/>
      <c r="B114" s="142"/>
      <c r="C114" s="144"/>
      <c r="D114" s="144"/>
      <c r="E114" s="144"/>
      <c r="F114" s="144"/>
    </row>
    <row r="115" spans="1:19" ht="15.75" thickBot="1" x14ac:dyDescent="0.3"/>
    <row r="116" spans="1:19" ht="24.75" thickBot="1" x14ac:dyDescent="0.45">
      <c r="A116" s="202" t="s">
        <v>99</v>
      </c>
      <c r="B116" s="203"/>
      <c r="C116" s="203"/>
      <c r="D116" s="203"/>
      <c r="E116" s="203"/>
      <c r="F116" s="204"/>
    </row>
    <row r="117" spans="1:19" ht="24.75" thickBot="1" x14ac:dyDescent="0.45">
      <c r="A117" s="163" t="s">
        <v>100</v>
      </c>
      <c r="B117" s="164"/>
      <c r="C117" s="164"/>
      <c r="D117" s="164"/>
      <c r="E117" s="164"/>
      <c r="F117" s="165"/>
    </row>
    <row r="118" spans="1:19" ht="24.75" thickBot="1" x14ac:dyDescent="0.45">
      <c r="A118" s="184" t="s">
        <v>101</v>
      </c>
      <c r="B118" s="185"/>
      <c r="C118" s="185"/>
      <c r="D118" s="185"/>
      <c r="E118" s="185"/>
      <c r="F118" s="186"/>
    </row>
    <row r="119" spans="1:19" ht="16.5" thickBot="1" x14ac:dyDescent="0.3">
      <c r="A119" s="104" t="s">
        <v>11</v>
      </c>
      <c r="B119" s="104" t="s">
        <v>12</v>
      </c>
      <c r="C119" s="104" t="s">
        <v>13</v>
      </c>
      <c r="D119" s="104" t="s">
        <v>14</v>
      </c>
      <c r="E119" s="104" t="s">
        <v>41</v>
      </c>
      <c r="F119" s="104" t="s">
        <v>16</v>
      </c>
      <c r="R119" s="110"/>
      <c r="S119" s="110"/>
    </row>
    <row r="120" spans="1:19" ht="90.75" thickBot="1" x14ac:dyDescent="0.3">
      <c r="A120" s="116">
        <v>1</v>
      </c>
      <c r="B120" s="105" t="s">
        <v>102</v>
      </c>
      <c r="C120" s="115" t="s">
        <v>21</v>
      </c>
      <c r="D120" s="128" t="s">
        <v>19</v>
      </c>
      <c r="E120" s="127" t="s">
        <v>384</v>
      </c>
      <c r="F120" s="126" t="s">
        <v>454</v>
      </c>
      <c r="Q120" s="120" t="s">
        <v>103</v>
      </c>
      <c r="R120" s="117" t="s">
        <v>21</v>
      </c>
      <c r="S120" s="117" t="s">
        <v>18</v>
      </c>
    </row>
    <row r="121" spans="1:19" ht="45.75" thickBot="1" x14ac:dyDescent="0.3">
      <c r="A121" s="116">
        <v>2</v>
      </c>
      <c r="B121" s="105" t="s">
        <v>104</v>
      </c>
      <c r="C121" s="115" t="s">
        <v>21</v>
      </c>
      <c r="D121" s="128" t="s">
        <v>19</v>
      </c>
      <c r="E121" s="127" t="s">
        <v>384</v>
      </c>
      <c r="F121" s="126" t="s">
        <v>455</v>
      </c>
      <c r="Q121" s="111" t="s">
        <v>24</v>
      </c>
      <c r="R121" s="110">
        <f>+COUNTIF(C120:C128,R120)</f>
        <v>5</v>
      </c>
      <c r="S121" s="110">
        <f>+COUNTIF(C120:C128,S120)</f>
        <v>4</v>
      </c>
    </row>
    <row r="122" spans="1:19" ht="60.75" thickBot="1" x14ac:dyDescent="0.3">
      <c r="A122" s="116">
        <v>3</v>
      </c>
      <c r="B122" s="105" t="s">
        <v>105</v>
      </c>
      <c r="C122" s="115" t="s">
        <v>21</v>
      </c>
      <c r="D122" s="128" t="s">
        <v>19</v>
      </c>
      <c r="E122" s="127" t="s">
        <v>384</v>
      </c>
      <c r="F122" s="126" t="s">
        <v>456</v>
      </c>
      <c r="Q122" s="111" t="s">
        <v>26</v>
      </c>
      <c r="R122" s="110">
        <f>+COUNTIFS(C120:C128,R120,D120:D128,"")</f>
        <v>0</v>
      </c>
      <c r="S122" s="110">
        <f>+COUNTIFS(C120:C128,S120,D120:D128,"")</f>
        <v>0</v>
      </c>
    </row>
    <row r="123" spans="1:19" ht="60.75" thickBot="1" x14ac:dyDescent="0.3">
      <c r="A123" s="116">
        <v>4</v>
      </c>
      <c r="B123" s="105" t="s">
        <v>106</v>
      </c>
      <c r="C123" s="115" t="s">
        <v>21</v>
      </c>
      <c r="D123" s="128" t="s">
        <v>19</v>
      </c>
      <c r="E123" s="127" t="s">
        <v>384</v>
      </c>
      <c r="F123" s="126" t="s">
        <v>457</v>
      </c>
      <c r="Q123" s="111" t="s">
        <v>23</v>
      </c>
      <c r="R123" s="110">
        <f>+COUNTIFS(C120:C128,R120,D120:D128,Q123)</f>
        <v>0</v>
      </c>
      <c r="S123" s="110">
        <f>+COUNTIFS(C120:C128,S120,D120:D128,Q123)</f>
        <v>0</v>
      </c>
    </row>
    <row r="124" spans="1:19" ht="60.75" thickBot="1" x14ac:dyDescent="0.3">
      <c r="A124" s="116">
        <v>5</v>
      </c>
      <c r="B124" s="105" t="s">
        <v>107</v>
      </c>
      <c r="C124" s="115" t="s">
        <v>18</v>
      </c>
      <c r="D124" s="128" t="s">
        <v>19</v>
      </c>
      <c r="E124" s="127" t="s">
        <v>384</v>
      </c>
      <c r="F124" s="126" t="s">
        <v>458</v>
      </c>
      <c r="Q124" s="111" t="s">
        <v>19</v>
      </c>
      <c r="R124" s="110">
        <f>+COUNTIFS(C120:C128,R120,D120:D128,Q124)</f>
        <v>5</v>
      </c>
      <c r="S124" s="110">
        <f>+COUNTIFS(C120:C128,S120,D120:D128,Q124)</f>
        <v>4</v>
      </c>
    </row>
    <row r="125" spans="1:19" ht="75.75" thickBot="1" x14ac:dyDescent="0.3">
      <c r="A125" s="116">
        <v>6</v>
      </c>
      <c r="B125" s="105" t="s">
        <v>108</v>
      </c>
      <c r="C125" s="115" t="s">
        <v>21</v>
      </c>
      <c r="D125" s="128" t="s">
        <v>19</v>
      </c>
      <c r="E125" s="127" t="s">
        <v>384</v>
      </c>
      <c r="F125" s="126" t="s">
        <v>459</v>
      </c>
      <c r="Q125" s="109" t="str">
        <f>+A118</f>
        <v xml:space="preserve">Indicador Seguridad y salud ocupacional </v>
      </c>
      <c r="R125" s="140" t="str" cm="1">
        <f t="array" ref="R125">_xlfn.IFS(AND(R123=R121,S123=S121),'DATOS BÁSICOS'!$A$15,AND(R123=R121,S123&gt;0,S123&lt;S121),'DATOS BÁSICOS'!$A$16,AND(R123&gt;=1,S123&lt;=S121),'DATOS BÁSICOS'!$A$17,R123=0,'DATOS BÁSICOS'!$A$18)</f>
        <v>DEFICIENTE</v>
      </c>
      <c r="S125" s="140"/>
    </row>
    <row r="126" spans="1:19" ht="75.75" thickBot="1" x14ac:dyDescent="0.3">
      <c r="A126" s="116">
        <v>7</v>
      </c>
      <c r="B126" s="105" t="s">
        <v>109</v>
      </c>
      <c r="C126" s="115" t="s">
        <v>18</v>
      </c>
      <c r="D126" s="128" t="s">
        <v>19</v>
      </c>
      <c r="E126" s="127" t="s">
        <v>460</v>
      </c>
      <c r="F126" s="126" t="s">
        <v>461</v>
      </c>
    </row>
    <row r="127" spans="1:19" ht="75.75" thickBot="1" x14ac:dyDescent="0.3">
      <c r="A127" s="116">
        <v>8</v>
      </c>
      <c r="B127" s="105" t="s">
        <v>110</v>
      </c>
      <c r="C127" s="115" t="s">
        <v>18</v>
      </c>
      <c r="D127" s="128" t="s">
        <v>19</v>
      </c>
      <c r="E127" s="127" t="s">
        <v>460</v>
      </c>
      <c r="F127" s="126" t="s">
        <v>462</v>
      </c>
    </row>
    <row r="128" spans="1:19" ht="60.75" thickBot="1" x14ac:dyDescent="0.3">
      <c r="A128" s="116">
        <v>9</v>
      </c>
      <c r="B128" s="105" t="s">
        <v>111</v>
      </c>
      <c r="C128" s="115" t="s">
        <v>18</v>
      </c>
      <c r="D128" s="128" t="s">
        <v>19</v>
      </c>
      <c r="E128" s="127" t="s">
        <v>384</v>
      </c>
      <c r="F128" s="126" t="s">
        <v>463</v>
      </c>
    </row>
    <row r="129" spans="1:19" ht="19.5" thickBot="1" x14ac:dyDescent="0.3">
      <c r="A129" s="148" t="s">
        <v>36</v>
      </c>
      <c r="B129" s="149"/>
      <c r="C129" s="113" t="str" cm="1">
        <f t="array" ref="C129">+IFERROR(IF((R122+S122)&gt;0,"INGRESAR VALORACIÓN",_xlfn.IFS(AND(R123=R121,S123=S121),'DATOS BÁSICOS'!$A$15,AND(R123=R121,S123&lt;&gt;0,S123&lt;S121),'DATOS BÁSICOS'!$A$16,AND(R123&gt;=1,S123&lt;=S121),'DATOS BÁSICOS'!$A$17,R123=0,'DATOS BÁSICOS'!$A$18)),"RESULTADO NO DEFINIDO")</f>
        <v>DEFICIENTE</v>
      </c>
      <c r="D129" s="123" t="s">
        <v>37</v>
      </c>
      <c r="E129" s="103" t="s">
        <v>38</v>
      </c>
      <c r="F129" s="152"/>
    </row>
    <row r="130" spans="1:19" ht="24.75" thickBot="1" x14ac:dyDescent="0.3">
      <c r="A130" s="150"/>
      <c r="B130" s="151"/>
      <c r="C130" s="112">
        <f>+IFERROR(VLOOKUP(C129,VALORACIÓN_INDI[],4,0),"")</f>
        <v>0</v>
      </c>
      <c r="D130" s="102">
        <f>+VLOOKUP(Q120,PESOS!$BD$2:$BM$45,'INDICADORES CUALITATIVOS'!$S$7,0)</f>
        <v>2.5000000000000001E-2</v>
      </c>
      <c r="E130" s="101">
        <f>+IFERROR(C130*D130,"")</f>
        <v>0</v>
      </c>
      <c r="F130" s="153"/>
    </row>
    <row r="131" spans="1:19" x14ac:dyDescent="0.25">
      <c r="A131" s="141" t="s">
        <v>39</v>
      </c>
      <c r="B131" s="141"/>
      <c r="C131" s="143"/>
      <c r="D131" s="143"/>
      <c r="E131" s="143"/>
      <c r="F131" s="143"/>
    </row>
    <row r="132" spans="1:19" ht="15.75" thickBot="1" x14ac:dyDescent="0.3">
      <c r="A132" s="142"/>
      <c r="B132" s="142"/>
      <c r="C132" s="144"/>
      <c r="D132" s="144"/>
      <c r="E132" s="144"/>
      <c r="F132" s="144"/>
    </row>
    <row r="133" spans="1:19" ht="15.75" thickBot="1" x14ac:dyDescent="0.3"/>
    <row r="134" spans="1:19" ht="24.75" thickBot="1" x14ac:dyDescent="0.45">
      <c r="A134" s="163" t="s">
        <v>112</v>
      </c>
      <c r="B134" s="164"/>
      <c r="C134" s="164"/>
      <c r="D134" s="164"/>
      <c r="E134" s="164"/>
      <c r="F134" s="165"/>
    </row>
    <row r="135" spans="1:19" ht="16.5" thickBot="1" x14ac:dyDescent="0.3">
      <c r="A135" s="104" t="s">
        <v>11</v>
      </c>
      <c r="B135" s="104" t="s">
        <v>12</v>
      </c>
      <c r="C135" s="104" t="s">
        <v>13</v>
      </c>
      <c r="D135" s="104" t="s">
        <v>14</v>
      </c>
      <c r="E135" s="104" t="s">
        <v>41</v>
      </c>
      <c r="F135" s="104" t="s">
        <v>16</v>
      </c>
      <c r="R135" s="110"/>
      <c r="S135" s="110"/>
    </row>
    <row r="136" spans="1:19" ht="255.75" thickBot="1" x14ac:dyDescent="0.3">
      <c r="A136" s="116">
        <v>1</v>
      </c>
      <c r="B136" s="105" t="s">
        <v>113</v>
      </c>
      <c r="C136" s="115" t="s">
        <v>21</v>
      </c>
      <c r="D136" s="128" t="s">
        <v>19</v>
      </c>
      <c r="E136" s="127" t="s">
        <v>460</v>
      </c>
      <c r="F136" s="126" t="s">
        <v>464</v>
      </c>
      <c r="Q136" s="120" t="s">
        <v>114</v>
      </c>
      <c r="R136" s="117" t="s">
        <v>21</v>
      </c>
      <c r="S136" s="117" t="s">
        <v>18</v>
      </c>
    </row>
    <row r="137" spans="1:19" ht="75.75" thickBot="1" x14ac:dyDescent="0.3">
      <c r="A137" s="116">
        <v>2</v>
      </c>
      <c r="B137" s="105" t="s">
        <v>115</v>
      </c>
      <c r="C137" s="115" t="s">
        <v>21</v>
      </c>
      <c r="D137" s="128" t="s">
        <v>19</v>
      </c>
      <c r="E137" s="127" t="s">
        <v>460</v>
      </c>
      <c r="F137" s="126" t="s">
        <v>465</v>
      </c>
      <c r="Q137" s="111" t="s">
        <v>24</v>
      </c>
      <c r="R137" s="110">
        <f>+COUNTIF(C136:C139,R136)</f>
        <v>3</v>
      </c>
      <c r="S137" s="110">
        <f>+COUNTIF(C136:C139,S136)</f>
        <v>1</v>
      </c>
    </row>
    <row r="138" spans="1:19" ht="120.75" thickBot="1" x14ac:dyDescent="0.3">
      <c r="A138" s="116">
        <v>3</v>
      </c>
      <c r="B138" s="105" t="s">
        <v>116</v>
      </c>
      <c r="C138" s="115" t="s">
        <v>18</v>
      </c>
      <c r="D138" s="128" t="s">
        <v>19</v>
      </c>
      <c r="E138" s="127" t="s">
        <v>460</v>
      </c>
      <c r="F138" s="126" t="s">
        <v>466</v>
      </c>
      <c r="Q138" s="111" t="s">
        <v>26</v>
      </c>
      <c r="R138" s="110">
        <f>+COUNTIFS(C136:C139,R136,D136:D139,"")</f>
        <v>0</v>
      </c>
      <c r="S138" s="110">
        <f>+COUNTIFS(C136:C139,S136,D136:D139,"")</f>
        <v>0</v>
      </c>
    </row>
    <row r="139" spans="1:19" ht="60.75" thickBot="1" x14ac:dyDescent="0.3">
      <c r="A139" s="116">
        <v>4</v>
      </c>
      <c r="B139" s="105" t="s">
        <v>117</v>
      </c>
      <c r="C139" s="115" t="s">
        <v>21</v>
      </c>
      <c r="D139" s="128" t="s">
        <v>19</v>
      </c>
      <c r="E139" s="127" t="s">
        <v>460</v>
      </c>
      <c r="F139" s="126" t="s">
        <v>467</v>
      </c>
      <c r="Q139" s="111" t="s">
        <v>23</v>
      </c>
      <c r="R139" s="110">
        <f>+COUNTIFS(C136:C139,R136,D136:D139,Q139)</f>
        <v>0</v>
      </c>
      <c r="S139" s="110">
        <f>+COUNTIFS(C136:C139,S136,D136:D139,Q139)</f>
        <v>0</v>
      </c>
    </row>
    <row r="140" spans="1:19" ht="19.5" thickBot="1" x14ac:dyDescent="0.3">
      <c r="A140" s="148" t="s">
        <v>36</v>
      </c>
      <c r="B140" s="149"/>
      <c r="C140" s="113" t="str" cm="1">
        <f t="array" ref="C140">+IFERROR(IF((R138+S138)&gt;0,"INGRESAR VALORACIÓN",_xlfn.IFS(AND(R139=R137,S139=S137),'DATOS BÁSICOS'!$A$15,AND(R139=R137,S139&lt;&gt;0,S139&lt;S137),'DATOS BÁSICOS'!$A$16,AND(R139&gt;=1,S139&lt;=S137),'DATOS BÁSICOS'!$A$17,R139=0,'DATOS BÁSICOS'!$A$18)),"RESULTADO NO DEFINIDO")</f>
        <v>DEFICIENTE</v>
      </c>
      <c r="D140" s="123" t="s">
        <v>37</v>
      </c>
      <c r="E140" s="103" t="s">
        <v>38</v>
      </c>
      <c r="F140" s="152"/>
      <c r="Q140" s="111" t="s">
        <v>19</v>
      </c>
      <c r="R140" s="110">
        <f>+COUNTIFS(C136:C139,R136,D136:D139,Q140)</f>
        <v>3</v>
      </c>
      <c r="S140" s="110">
        <f>+COUNTIFS(C136:C139,S136,D136:D139,Q140)</f>
        <v>1</v>
      </c>
    </row>
    <row r="141" spans="1:19" ht="30.75" thickBot="1" x14ac:dyDescent="0.3">
      <c r="A141" s="150"/>
      <c r="B141" s="151"/>
      <c r="C141" s="112">
        <f>+IFERROR(VLOOKUP(C140,VALORACIÓN_INDI[],4,0),"")</f>
        <v>0</v>
      </c>
      <c r="D141" s="102">
        <f>+VLOOKUP(Q136,PESOS!$BD$2:$BM$45,'INDICADORES CUALITATIVOS'!$S$7,0)</f>
        <v>0.02</v>
      </c>
      <c r="E141" s="101">
        <f>+IFERROR(C141*D141,"")</f>
        <v>0</v>
      </c>
      <c r="F141" s="153"/>
      <c r="Q141" s="109" t="str">
        <f>+A134</f>
        <v xml:space="preserve">Indicador Accesibilidad física y esparcimiento </v>
      </c>
      <c r="R141" s="140" t="str" cm="1">
        <f t="array" ref="R141">_xlfn.IFS(AND(R139=R137,S139=S137),'DATOS BÁSICOS'!$A$15,AND(R139=R137,S139&gt;0,S139&lt;S137),'DATOS BÁSICOS'!$A$16,AND(R139&gt;=1,S139&lt;=S137),'DATOS BÁSICOS'!$A$17,R139=0,'DATOS BÁSICOS'!$A$18)</f>
        <v>DEFICIENTE</v>
      </c>
      <c r="S141" s="140"/>
    </row>
    <row r="142" spans="1:19" x14ac:dyDescent="0.25">
      <c r="A142" s="141" t="s">
        <v>39</v>
      </c>
      <c r="B142" s="141"/>
      <c r="C142" s="143"/>
      <c r="D142" s="143"/>
      <c r="E142" s="143"/>
      <c r="F142" s="143"/>
    </row>
    <row r="143" spans="1:19" ht="15.75" thickBot="1" x14ac:dyDescent="0.3">
      <c r="A143" s="142"/>
      <c r="B143" s="142"/>
      <c r="C143" s="144"/>
      <c r="D143" s="144"/>
      <c r="E143" s="144"/>
      <c r="F143" s="144"/>
    </row>
    <row r="145" spans="1:19" ht="15.75" thickBot="1" x14ac:dyDescent="0.3"/>
    <row r="146" spans="1:19" ht="24.75" thickBot="1" x14ac:dyDescent="0.45">
      <c r="A146" s="205" t="s">
        <v>118</v>
      </c>
      <c r="B146" s="206"/>
      <c r="C146" s="206"/>
      <c r="D146" s="206"/>
      <c r="E146" s="206"/>
      <c r="F146" s="207"/>
    </row>
    <row r="147" spans="1:19" ht="24.75" thickBot="1" x14ac:dyDescent="0.45">
      <c r="A147" s="208" t="s">
        <v>119</v>
      </c>
      <c r="B147" s="209"/>
      <c r="C147" s="209"/>
      <c r="D147" s="209"/>
      <c r="E147" s="209"/>
      <c r="F147" s="210"/>
    </row>
    <row r="148" spans="1:19" ht="24.75" thickBot="1" x14ac:dyDescent="0.45">
      <c r="A148" s="211" t="s">
        <v>120</v>
      </c>
      <c r="B148" s="212"/>
      <c r="C148" s="212"/>
      <c r="D148" s="212"/>
      <c r="E148" s="212"/>
      <c r="F148" s="213"/>
    </row>
    <row r="149" spans="1:19" ht="16.5" thickBot="1" x14ac:dyDescent="0.3">
      <c r="A149" s="104" t="s">
        <v>11</v>
      </c>
      <c r="B149" s="104" t="s">
        <v>12</v>
      </c>
      <c r="C149" s="104" t="s">
        <v>13</v>
      </c>
      <c r="D149" s="104" t="s">
        <v>14</v>
      </c>
      <c r="E149" s="104" t="s">
        <v>41</v>
      </c>
      <c r="F149" s="104" t="s">
        <v>16</v>
      </c>
      <c r="R149" s="110"/>
      <c r="S149" s="110"/>
    </row>
    <row r="150" spans="1:19" ht="72.599999999999994" customHeight="1" thickBot="1" x14ac:dyDescent="0.3">
      <c r="A150" s="175">
        <v>1</v>
      </c>
      <c r="B150" s="166" t="s">
        <v>121</v>
      </c>
      <c r="C150" s="169" t="s">
        <v>18</v>
      </c>
      <c r="D150" s="172" t="s">
        <v>19</v>
      </c>
      <c r="E150" s="178" t="s">
        <v>384</v>
      </c>
      <c r="F150" s="181" t="s">
        <v>468</v>
      </c>
      <c r="Q150" s="120" t="s">
        <v>122</v>
      </c>
      <c r="R150" s="117" t="s">
        <v>21</v>
      </c>
      <c r="S150" s="117" t="s">
        <v>18</v>
      </c>
    </row>
    <row r="151" spans="1:19" ht="7.5" customHeight="1" thickBot="1" x14ac:dyDescent="0.3">
      <c r="A151" s="176"/>
      <c r="B151" s="167"/>
      <c r="C151" s="170"/>
      <c r="D151" s="173"/>
      <c r="E151" s="179"/>
      <c r="F151" s="182"/>
      <c r="Q151" s="111" t="s">
        <v>24</v>
      </c>
      <c r="R151" s="110">
        <f>+COUNTIF(C150:C158,R150)</f>
        <v>1</v>
      </c>
      <c r="S151" s="110">
        <f>+COUNTIF(C150:C158,S150)</f>
        <v>1</v>
      </c>
    </row>
    <row r="152" spans="1:19" ht="3.75" hidden="1" customHeight="1" thickBot="1" x14ac:dyDescent="0.3">
      <c r="A152" s="176"/>
      <c r="B152" s="167"/>
      <c r="C152" s="170"/>
      <c r="D152" s="173"/>
      <c r="E152" s="179"/>
      <c r="F152" s="182"/>
      <c r="Q152" s="111" t="s">
        <v>26</v>
      </c>
      <c r="R152" s="110">
        <f>+COUNTIFS(C150:C158,R150,D150:D158,"")</f>
        <v>0</v>
      </c>
      <c r="S152" s="110">
        <f>+COUNTIFS(C150:C158,S150,D150:D158,"")</f>
        <v>0</v>
      </c>
    </row>
    <row r="153" spans="1:19" ht="15.75" hidden="1" customHeight="1" thickBot="1" x14ac:dyDescent="0.3">
      <c r="A153" s="177"/>
      <c r="B153" s="168"/>
      <c r="C153" s="171"/>
      <c r="D153" s="174"/>
      <c r="E153" s="180"/>
      <c r="F153" s="183"/>
      <c r="Q153" s="111" t="s">
        <v>23</v>
      </c>
      <c r="R153" s="110">
        <f>+COUNTIFS(C150:C158,R150,D150:D158,Q153)</f>
        <v>0</v>
      </c>
      <c r="S153" s="110">
        <f>+COUNTIFS(C150:C158,S150,D150:D158,Q153)</f>
        <v>0</v>
      </c>
    </row>
    <row r="154" spans="1:19" ht="43.9" customHeight="1" x14ac:dyDescent="0.25">
      <c r="A154" s="175">
        <v>2</v>
      </c>
      <c r="B154" s="166" t="s">
        <v>123</v>
      </c>
      <c r="C154" s="169" t="s">
        <v>21</v>
      </c>
      <c r="D154" s="172" t="s">
        <v>19</v>
      </c>
      <c r="E154" s="178" t="s">
        <v>469</v>
      </c>
      <c r="F154" s="181" t="s">
        <v>470</v>
      </c>
      <c r="Q154" s="111" t="s">
        <v>19</v>
      </c>
      <c r="R154" s="110">
        <f>+COUNTIFS(C150:C158,R150,D150:D158,Q154)</f>
        <v>1</v>
      </c>
      <c r="S154" s="110">
        <f>+COUNTIFS(C150:C158,S150,D150:D158,Q154)</f>
        <v>1</v>
      </c>
    </row>
    <row r="155" spans="1:19" ht="12" customHeight="1" thickBot="1" x14ac:dyDescent="0.3">
      <c r="A155" s="176"/>
      <c r="B155" s="167"/>
      <c r="C155" s="170"/>
      <c r="D155" s="173"/>
      <c r="E155" s="179"/>
      <c r="F155" s="182"/>
      <c r="Q155" s="109" t="str">
        <f>+A148</f>
        <v xml:space="preserve">Indicador Selección de profesores </v>
      </c>
      <c r="R155" s="140" t="str" cm="1">
        <f t="array" ref="R155">_xlfn.IFS(AND(R153=R151,S153=S151),'DATOS BÁSICOS'!$A$15,AND(R153=R151,S153&gt;0,S153&lt;S151),'DATOS BÁSICOS'!$A$16,AND(R153&gt;=1,S153&lt;=S151),'DATOS BÁSICOS'!$A$17,R153=0,'DATOS BÁSICOS'!$A$18)</f>
        <v>DEFICIENTE</v>
      </c>
      <c r="S155" s="140"/>
    </row>
    <row r="156" spans="1:19" ht="15" hidden="1" customHeight="1" thickBot="1" x14ac:dyDescent="0.3">
      <c r="A156" s="176"/>
      <c r="B156" s="167"/>
      <c r="C156" s="170"/>
      <c r="D156" s="173"/>
      <c r="E156" s="179"/>
      <c r="F156" s="182"/>
    </row>
    <row r="157" spans="1:19" ht="15" hidden="1" customHeight="1" thickBot="1" x14ac:dyDescent="0.3">
      <c r="A157" s="176"/>
      <c r="B157" s="167"/>
      <c r="C157" s="170"/>
      <c r="D157" s="173"/>
      <c r="E157" s="179"/>
      <c r="F157" s="182"/>
    </row>
    <row r="158" spans="1:19" ht="15" hidden="1" customHeight="1" thickBot="1" x14ac:dyDescent="0.3">
      <c r="A158" s="177"/>
      <c r="B158" s="168"/>
      <c r="C158" s="171"/>
      <c r="D158" s="174"/>
      <c r="E158" s="180"/>
      <c r="F158" s="183"/>
    </row>
    <row r="159" spans="1:19" ht="19.5" thickBot="1" x14ac:dyDescent="0.3">
      <c r="A159" s="148" t="s">
        <v>36</v>
      </c>
      <c r="B159" s="149"/>
      <c r="C159" s="113" t="str" cm="1">
        <f t="array" ref="C159">+IFERROR(IF((R152+S152)&gt;0,"INGRESAR VALORACIÓN",_xlfn.IFS(AND(R153=R151,S153=S151),'DATOS BÁSICOS'!$A$15,AND(R153=R151,S153&lt;&gt;0,S153&lt;S151),'DATOS BÁSICOS'!$A$16,AND(R153&gt;=1,S153&lt;=S151),'DATOS BÁSICOS'!$A$17,R153=0,'DATOS BÁSICOS'!$A$18)),"RESULTADO NO DEFINIDO")</f>
        <v>DEFICIENTE</v>
      </c>
      <c r="D159" s="123" t="s">
        <v>37</v>
      </c>
      <c r="E159" s="103" t="s">
        <v>38</v>
      </c>
      <c r="F159" s="152"/>
    </row>
    <row r="160" spans="1:19" ht="24.75" thickBot="1" x14ac:dyDescent="0.3">
      <c r="A160" s="150"/>
      <c r="B160" s="151"/>
      <c r="C160" s="112">
        <f>+IFERROR(VLOOKUP(C159,VALORACIÓN_INDI[],4,0),"")</f>
        <v>0</v>
      </c>
      <c r="D160" s="102">
        <f>+VLOOKUP(Q150,PESOS!$BD$2:$BM$45,'INDICADORES CUALITATIVOS'!$S$7,0)</f>
        <v>0.02</v>
      </c>
      <c r="E160" s="101">
        <f>+IFERROR(C160*D160,"")</f>
        <v>0</v>
      </c>
      <c r="F160" s="153"/>
    </row>
    <row r="161" spans="1:19" x14ac:dyDescent="0.25">
      <c r="A161" s="141" t="s">
        <v>39</v>
      </c>
      <c r="B161" s="141"/>
      <c r="C161" s="143"/>
      <c r="D161" s="143"/>
      <c r="E161" s="143"/>
      <c r="F161" s="143"/>
    </row>
    <row r="162" spans="1:19" ht="15.75" thickBot="1" x14ac:dyDescent="0.3">
      <c r="A162" s="142"/>
      <c r="B162" s="142"/>
      <c r="C162" s="144"/>
      <c r="D162" s="144"/>
      <c r="E162" s="144"/>
      <c r="F162" s="144"/>
    </row>
    <row r="164" spans="1:19" ht="15.75" thickBot="1" x14ac:dyDescent="0.3"/>
    <row r="165" spans="1:19" ht="24.75" thickBot="1" x14ac:dyDescent="0.45">
      <c r="A165" s="214" t="s">
        <v>124</v>
      </c>
      <c r="B165" s="215"/>
      <c r="C165" s="215"/>
      <c r="D165" s="215"/>
      <c r="E165" s="215"/>
      <c r="F165" s="216"/>
    </row>
    <row r="166" spans="1:19" ht="24.75" thickBot="1" x14ac:dyDescent="0.45">
      <c r="A166" s="217" t="s">
        <v>125</v>
      </c>
      <c r="B166" s="217"/>
      <c r="C166" s="217"/>
      <c r="D166" s="217"/>
      <c r="E166" s="217"/>
      <c r="F166" s="217"/>
    </row>
    <row r="167" spans="1:19" ht="16.5" thickBot="1" x14ac:dyDescent="0.3">
      <c r="A167" s="104" t="s">
        <v>11</v>
      </c>
      <c r="B167" s="104" t="s">
        <v>12</v>
      </c>
      <c r="C167" s="104" t="s">
        <v>13</v>
      </c>
      <c r="D167" s="104" t="s">
        <v>14</v>
      </c>
      <c r="E167" s="104" t="s">
        <v>41</v>
      </c>
      <c r="F167" s="104" t="s">
        <v>16</v>
      </c>
      <c r="R167" s="110"/>
      <c r="S167" s="110"/>
    </row>
    <row r="168" spans="1:19" ht="90.75" thickBot="1" x14ac:dyDescent="0.3">
      <c r="A168" s="116">
        <v>1</v>
      </c>
      <c r="B168" s="118" t="s">
        <v>126</v>
      </c>
      <c r="C168" s="115" t="s">
        <v>21</v>
      </c>
      <c r="D168" s="128" t="s">
        <v>23</v>
      </c>
      <c r="E168" s="127" t="s">
        <v>471</v>
      </c>
      <c r="F168" s="126" t="s">
        <v>472</v>
      </c>
      <c r="Q168" s="80" t="s">
        <v>127</v>
      </c>
      <c r="R168" s="117" t="s">
        <v>21</v>
      </c>
      <c r="S168" s="117" t="s">
        <v>18</v>
      </c>
    </row>
    <row r="169" spans="1:19" ht="75.75" thickBot="1" x14ac:dyDescent="0.3">
      <c r="A169" s="116">
        <v>2</v>
      </c>
      <c r="B169" s="105" t="s">
        <v>128</v>
      </c>
      <c r="C169" s="115" t="s">
        <v>18</v>
      </c>
      <c r="D169" s="128" t="s">
        <v>19</v>
      </c>
      <c r="E169" s="127" t="s">
        <v>384</v>
      </c>
      <c r="F169" s="126" t="s">
        <v>473</v>
      </c>
      <c r="Q169" s="111" t="s">
        <v>24</v>
      </c>
      <c r="R169" s="110">
        <f>+COUNTIF(C168:C175,R168)</f>
        <v>5</v>
      </c>
      <c r="S169" s="110">
        <f>+COUNTIF(C168:C175,S168)</f>
        <v>3</v>
      </c>
    </row>
    <row r="170" spans="1:19" ht="30.75" thickBot="1" x14ac:dyDescent="0.3">
      <c r="A170" s="116">
        <v>3</v>
      </c>
      <c r="B170" s="105" t="s">
        <v>129</v>
      </c>
      <c r="C170" s="115" t="s">
        <v>21</v>
      </c>
      <c r="D170" s="128" t="s">
        <v>19</v>
      </c>
      <c r="E170" s="127" t="s">
        <v>384</v>
      </c>
      <c r="F170" s="126" t="s">
        <v>474</v>
      </c>
      <c r="Q170" s="111" t="s">
        <v>26</v>
      </c>
      <c r="R170" s="110">
        <f>+COUNTIFS(C168:C175,R168,D168:D175,"")</f>
        <v>0</v>
      </c>
      <c r="S170" s="110">
        <f>+COUNTIFS(C168:C175,S168,D168:D175,"")</f>
        <v>0</v>
      </c>
    </row>
    <row r="171" spans="1:19" ht="150.75" thickBot="1" x14ac:dyDescent="0.3">
      <c r="A171" s="116">
        <v>4</v>
      </c>
      <c r="B171" s="105" t="s">
        <v>130</v>
      </c>
      <c r="C171" s="115" t="s">
        <v>21</v>
      </c>
      <c r="D171" s="128" t="s">
        <v>23</v>
      </c>
      <c r="E171" s="127" t="s">
        <v>475</v>
      </c>
      <c r="F171" s="126" t="s">
        <v>476</v>
      </c>
      <c r="Q171" s="111" t="s">
        <v>23</v>
      </c>
      <c r="R171" s="110">
        <f>+COUNTIFS(C168:C175,R168,D168:D175,Q171)</f>
        <v>2</v>
      </c>
      <c r="S171" s="110">
        <f>+COUNTIFS(C168:C175,S168,D168:D175,Q171)</f>
        <v>0</v>
      </c>
    </row>
    <row r="172" spans="1:19" ht="90.75" thickBot="1" x14ac:dyDescent="0.3">
      <c r="A172" s="116">
        <v>5</v>
      </c>
      <c r="B172" s="105" t="s">
        <v>131</v>
      </c>
      <c r="C172" s="115" t="s">
        <v>21</v>
      </c>
      <c r="D172" s="128" t="s">
        <v>19</v>
      </c>
      <c r="E172" s="127" t="s">
        <v>477</v>
      </c>
      <c r="F172" s="126" t="s">
        <v>478</v>
      </c>
      <c r="Q172" s="111" t="s">
        <v>19</v>
      </c>
      <c r="R172" s="110">
        <f>+COUNTIFS(C168:C175,R168,D168:D175,Q172)</f>
        <v>3</v>
      </c>
      <c r="S172" s="110">
        <f>+COUNTIFS(C168:C175,S168,D168:D175,Q172)</f>
        <v>3</v>
      </c>
    </row>
    <row r="173" spans="1:19" ht="45.75" thickBot="1" x14ac:dyDescent="0.3">
      <c r="A173" s="116">
        <v>6</v>
      </c>
      <c r="B173" s="105" t="s">
        <v>132</v>
      </c>
      <c r="C173" s="115" t="s">
        <v>21</v>
      </c>
      <c r="D173" s="128" t="s">
        <v>19</v>
      </c>
      <c r="E173" s="127" t="s">
        <v>384</v>
      </c>
      <c r="F173" s="126" t="s">
        <v>479</v>
      </c>
      <c r="Q173" s="109" t="str">
        <f>+A166</f>
        <v xml:space="preserve">Indicador Entorno virtual de aprendizaje  </v>
      </c>
      <c r="R173" s="140" t="str" cm="1">
        <f t="array" ref="R173">+IFERROR(IF((R170+S170)&gt;0,"INGRESAR VALORACIÓN",_xlfn.IFS(AND(R171=R169,S171=S169),'DATOS BÁSICOS'!$A$15,AND(R171=R169,S171&gt;0,S171&lt;S169),'DATOS BÁSICOS'!$A$16,AND(R171=1,S171&lt;S169),'DATOS BÁSICOS'!$A$17,R171=0,'DATOS BÁSICOS'!$A$18)),"RESULTADO NO DEFINIDO")</f>
        <v>RESULTADO NO DEFINIDO</v>
      </c>
      <c r="S173" s="140"/>
    </row>
    <row r="174" spans="1:19" ht="105.75" thickBot="1" x14ac:dyDescent="0.3">
      <c r="A174" s="116">
        <v>7</v>
      </c>
      <c r="B174" s="105" t="s">
        <v>133</v>
      </c>
      <c r="C174" s="115" t="s">
        <v>18</v>
      </c>
      <c r="D174" s="128" t="s">
        <v>19</v>
      </c>
      <c r="E174" s="127" t="s">
        <v>384</v>
      </c>
      <c r="F174" s="126" t="s">
        <v>480</v>
      </c>
    </row>
    <row r="175" spans="1:19" ht="165.75" thickBot="1" x14ac:dyDescent="0.3">
      <c r="A175" s="116">
        <v>8</v>
      </c>
      <c r="B175" s="105" t="s">
        <v>134</v>
      </c>
      <c r="C175" s="115" t="s">
        <v>18</v>
      </c>
      <c r="D175" s="128" t="s">
        <v>19</v>
      </c>
      <c r="E175" s="127" t="s">
        <v>481</v>
      </c>
      <c r="F175" s="126" t="s">
        <v>482</v>
      </c>
    </row>
    <row r="176" spans="1:19" ht="19.5" thickBot="1" x14ac:dyDescent="0.3">
      <c r="A176" s="148" t="s">
        <v>36</v>
      </c>
      <c r="B176" s="149"/>
      <c r="C176" s="113" t="str" cm="1">
        <f t="array" ref="C176">+IFERROR(IF((R170+S170)&gt;0,"INGRESAR VALORACIÓN",_xlfn.IFS(AND(R171=R169,S171=S169),'DATOS BÁSICOS'!$A$15,AND(R171=R169,S171&lt;&gt;0,S171&lt;S169),'DATOS BÁSICOS'!$A$16,AND(R171&gt;=1,S171&lt;=S169),'DATOS BÁSICOS'!$A$17,R171=0,'DATOS BÁSICOS'!$A$18)),"RESULTADO NO DEFINIDO")</f>
        <v>POCO-SATISFACTORIO</v>
      </c>
      <c r="D176" s="123" t="s">
        <v>37</v>
      </c>
      <c r="E176" s="103" t="s">
        <v>38</v>
      </c>
      <c r="F176" s="152"/>
    </row>
    <row r="177" spans="1:19" ht="24.75" thickBot="1" x14ac:dyDescent="0.3">
      <c r="A177" s="150"/>
      <c r="B177" s="151"/>
      <c r="C177" s="112">
        <f>+IFERROR(VLOOKUP(C176,VALORACIÓN_INDI[],4,0),"")</f>
        <v>0.35</v>
      </c>
      <c r="D177" s="102">
        <f>+VLOOKUP(Q168,PESOS!$BD$2:$BM$45,'INDICADORES CUALITATIVOS'!$S$7,0)</f>
        <v>1.4999999999999999E-2</v>
      </c>
      <c r="E177" s="101">
        <f>+IFERROR(C177*D177,"")</f>
        <v>5.2499999999999995E-3</v>
      </c>
      <c r="F177" s="153"/>
    </row>
    <row r="178" spans="1:19" x14ac:dyDescent="0.25">
      <c r="A178" s="141" t="s">
        <v>39</v>
      </c>
      <c r="B178" s="141"/>
      <c r="C178" s="143"/>
      <c r="D178" s="143"/>
      <c r="E178" s="143"/>
      <c r="F178" s="143"/>
    </row>
    <row r="179" spans="1:19" ht="15.75" thickBot="1" x14ac:dyDescent="0.3">
      <c r="A179" s="142"/>
      <c r="B179" s="142"/>
      <c r="C179" s="144"/>
      <c r="D179" s="144"/>
      <c r="E179" s="144"/>
      <c r="F179" s="144"/>
    </row>
    <row r="181" spans="1:19" ht="15.75" thickBot="1" x14ac:dyDescent="0.3"/>
    <row r="182" spans="1:19" ht="24.75" thickBot="1" x14ac:dyDescent="0.45">
      <c r="A182" s="218" t="s">
        <v>135</v>
      </c>
      <c r="B182" s="219"/>
      <c r="C182" s="219"/>
      <c r="D182" s="219"/>
      <c r="E182" s="219"/>
      <c r="F182" s="220"/>
    </row>
    <row r="183" spans="1:19" ht="24.75" thickBot="1" x14ac:dyDescent="0.45">
      <c r="A183" s="218" t="s">
        <v>136</v>
      </c>
      <c r="B183" s="219"/>
      <c r="C183" s="219"/>
      <c r="D183" s="219"/>
      <c r="E183" s="219"/>
      <c r="F183" s="220"/>
    </row>
    <row r="184" spans="1:19" ht="16.5" thickBot="1" x14ac:dyDescent="0.3">
      <c r="A184" s="104" t="s">
        <v>11</v>
      </c>
      <c r="B184" s="104" t="s">
        <v>12</v>
      </c>
      <c r="C184" s="104" t="s">
        <v>13</v>
      </c>
      <c r="D184" s="104" t="s">
        <v>14</v>
      </c>
      <c r="E184" s="104" t="s">
        <v>41</v>
      </c>
      <c r="F184" s="104" t="s">
        <v>16</v>
      </c>
      <c r="R184" s="110"/>
      <c r="S184" s="110"/>
    </row>
    <row r="185" spans="1:19" ht="60.75" thickBot="1" x14ac:dyDescent="0.3">
      <c r="A185" s="116">
        <v>1</v>
      </c>
      <c r="B185" s="119" t="s">
        <v>137</v>
      </c>
      <c r="C185" s="115" t="s">
        <v>18</v>
      </c>
      <c r="D185" s="128" t="s">
        <v>19</v>
      </c>
      <c r="E185" s="127" t="s">
        <v>384</v>
      </c>
      <c r="F185" s="126" t="s">
        <v>483</v>
      </c>
      <c r="Q185" s="80" t="s">
        <v>138</v>
      </c>
      <c r="R185" s="117" t="s">
        <v>21</v>
      </c>
      <c r="S185" s="117" t="s">
        <v>18</v>
      </c>
    </row>
    <row r="186" spans="1:19" ht="45.75" thickBot="1" x14ac:dyDescent="0.3">
      <c r="A186" s="116">
        <v>2</v>
      </c>
      <c r="B186" s="105" t="s">
        <v>139</v>
      </c>
      <c r="C186" s="115" t="s">
        <v>18</v>
      </c>
      <c r="D186" s="128" t="s">
        <v>19</v>
      </c>
      <c r="E186" s="127" t="s">
        <v>384</v>
      </c>
      <c r="F186" s="126" t="s">
        <v>484</v>
      </c>
      <c r="Q186" s="111" t="s">
        <v>24</v>
      </c>
      <c r="R186" s="110">
        <f>+COUNTIF(C185:C192,R185)</f>
        <v>4</v>
      </c>
      <c r="S186" s="110">
        <f>+COUNTIF(C185:C192,S185)</f>
        <v>4</v>
      </c>
    </row>
    <row r="187" spans="1:19" ht="60.75" thickBot="1" x14ac:dyDescent="0.3">
      <c r="A187" s="116">
        <v>3</v>
      </c>
      <c r="B187" s="105" t="s">
        <v>140</v>
      </c>
      <c r="C187" s="115" t="s">
        <v>18</v>
      </c>
      <c r="D187" s="128" t="s">
        <v>19</v>
      </c>
      <c r="E187" s="127" t="s">
        <v>384</v>
      </c>
      <c r="F187" s="126" t="s">
        <v>485</v>
      </c>
      <c r="Q187" s="111" t="s">
        <v>26</v>
      </c>
      <c r="R187" s="110">
        <f>+COUNTIFS(C185:C192,R185,D185:D192,"")</f>
        <v>0</v>
      </c>
      <c r="S187" s="110">
        <f>+COUNTIFS(C185:C192,S185,D185:D192,"")</f>
        <v>0</v>
      </c>
    </row>
    <row r="188" spans="1:19" ht="75.75" thickBot="1" x14ac:dyDescent="0.3">
      <c r="A188" s="116">
        <v>4</v>
      </c>
      <c r="B188" s="105" t="s">
        <v>141</v>
      </c>
      <c r="C188" s="115" t="s">
        <v>21</v>
      </c>
      <c r="D188" s="128" t="s">
        <v>19</v>
      </c>
      <c r="E188" s="127" t="s">
        <v>492</v>
      </c>
      <c r="F188" s="126" t="s">
        <v>486</v>
      </c>
      <c r="Q188" s="111" t="s">
        <v>23</v>
      </c>
      <c r="R188" s="110">
        <f>+COUNTIFS(C185:C192,R185,D185:D192,Q188)</f>
        <v>1</v>
      </c>
      <c r="S188" s="110">
        <f>+COUNTIFS(C185:C192,S185,D185:D192,Q188)</f>
        <v>0</v>
      </c>
    </row>
    <row r="189" spans="1:19" ht="60.75" thickBot="1" x14ac:dyDescent="0.3">
      <c r="A189" s="116">
        <v>5</v>
      </c>
      <c r="B189" s="105" t="s">
        <v>142</v>
      </c>
      <c r="C189" s="115" t="s">
        <v>21</v>
      </c>
      <c r="D189" s="128" t="s">
        <v>23</v>
      </c>
      <c r="E189" s="127" t="s">
        <v>487</v>
      </c>
      <c r="F189" s="126" t="s">
        <v>488</v>
      </c>
      <c r="Q189" s="111" t="s">
        <v>19</v>
      </c>
      <c r="R189" s="110">
        <f>+COUNTIFS(C185:C192,R185,D185:D192,Q189)</f>
        <v>3</v>
      </c>
      <c r="S189" s="110">
        <f>+COUNTIFS(C185:C192,S185,D185:D192,Q189)</f>
        <v>4</v>
      </c>
    </row>
    <row r="190" spans="1:19" ht="60.75" thickBot="1" x14ac:dyDescent="0.3">
      <c r="A190" s="116">
        <v>6</v>
      </c>
      <c r="B190" s="105" t="s">
        <v>143</v>
      </c>
      <c r="C190" s="115" t="s">
        <v>18</v>
      </c>
      <c r="D190" s="128" t="s">
        <v>19</v>
      </c>
      <c r="E190" s="127" t="s">
        <v>384</v>
      </c>
      <c r="F190" s="126" t="s">
        <v>489</v>
      </c>
      <c r="Q190" s="109" t="str">
        <f>+A183</f>
        <v xml:space="preserve">Indicador Funcionamiento de la biblioteca </v>
      </c>
      <c r="R190" s="140" t="str" cm="1">
        <f t="array" ref="R190">+IFERROR(IF((R187+S187)&gt;0,"INGRESAR VALORACIÓN",_xlfn.IFS(AND(R188=R186,S188=S186),'DATOS BÁSICOS'!$A$15,AND(R188=R186,S188&gt;0,S188&lt;S186),'DATOS BÁSICOS'!$A$16,AND(R188=1,S188&lt;S186),'DATOS BÁSICOS'!$A$17,R188=0,'DATOS BÁSICOS'!$A$18)),"RESULTADO NO DEFINIDO")</f>
        <v>POCO-SATISFACTORIO</v>
      </c>
      <c r="S190" s="140"/>
    </row>
    <row r="191" spans="1:19" ht="60.75" thickBot="1" x14ac:dyDescent="0.3">
      <c r="A191" s="116">
        <v>7</v>
      </c>
      <c r="B191" s="105" t="s">
        <v>144</v>
      </c>
      <c r="C191" s="115" t="s">
        <v>21</v>
      </c>
      <c r="D191" s="128" t="s">
        <v>19</v>
      </c>
      <c r="E191" s="127" t="s">
        <v>384</v>
      </c>
      <c r="F191" s="126" t="s">
        <v>490</v>
      </c>
    </row>
    <row r="192" spans="1:19" ht="60.75" thickBot="1" x14ac:dyDescent="0.3">
      <c r="A192" s="116">
        <v>8</v>
      </c>
      <c r="B192" s="105" t="s">
        <v>145</v>
      </c>
      <c r="C192" s="115" t="s">
        <v>21</v>
      </c>
      <c r="D192" s="128" t="s">
        <v>19</v>
      </c>
      <c r="E192" s="127" t="s">
        <v>384</v>
      </c>
      <c r="F192" s="126" t="s">
        <v>491</v>
      </c>
    </row>
    <row r="193" spans="1:19" ht="19.5" thickBot="1" x14ac:dyDescent="0.3">
      <c r="A193" s="148" t="s">
        <v>36</v>
      </c>
      <c r="B193" s="149"/>
      <c r="C193" s="113" t="str" cm="1">
        <f t="array" ref="C193">+IFERROR(IF((R187+S187)&gt;0,"INGRESAR VALORACIÓN",_xlfn.IFS(AND(R188=R186,S188=S186),'DATOS BÁSICOS'!$A$15,AND(R188=R186,S188&lt;&gt;0,S188&lt;S186),'DATOS BÁSICOS'!$A$16,AND(R188&gt;=1,S188&lt;=S186),'DATOS BÁSICOS'!$A$17,R188=0,'DATOS BÁSICOS'!$A$18)),"RESULTADO NO DEFINIDO")</f>
        <v>POCO-SATISFACTORIO</v>
      </c>
      <c r="D193" s="123" t="s">
        <v>37</v>
      </c>
      <c r="E193" s="103" t="s">
        <v>38</v>
      </c>
      <c r="F193" s="152"/>
    </row>
    <row r="194" spans="1:19" ht="24.75" thickBot="1" x14ac:dyDescent="0.3">
      <c r="A194" s="150"/>
      <c r="B194" s="151"/>
      <c r="C194" s="112">
        <f>+IFERROR(VLOOKUP(C193,VALORACIÓN_INDI[],4,0),"")</f>
        <v>0.35</v>
      </c>
      <c r="D194" s="102">
        <f>+VLOOKUP(Q185,PESOS!$BD$2:$BM$45,'INDICADORES CUALITATIVOS'!$S$7,0)</f>
        <v>1.4999999999999999E-2</v>
      </c>
      <c r="E194" s="101">
        <f>+IFERROR(C194*D194,"")</f>
        <v>5.2499999999999995E-3</v>
      </c>
      <c r="F194" s="153"/>
    </row>
    <row r="195" spans="1:19" x14ac:dyDescent="0.25">
      <c r="A195" s="141" t="s">
        <v>39</v>
      </c>
      <c r="B195" s="141"/>
      <c r="C195" s="143"/>
      <c r="D195" s="143"/>
      <c r="E195" s="143"/>
      <c r="F195" s="143"/>
    </row>
    <row r="196" spans="1:19" ht="15.75" thickBot="1" x14ac:dyDescent="0.3">
      <c r="A196" s="142"/>
      <c r="B196" s="142"/>
      <c r="C196" s="144"/>
      <c r="D196" s="144"/>
      <c r="E196" s="144"/>
      <c r="F196" s="144"/>
    </row>
    <row r="200" spans="1:19" ht="15.75" thickBot="1" x14ac:dyDescent="0.3"/>
    <row r="201" spans="1:19" ht="24.75" thickBot="1" x14ac:dyDescent="0.45">
      <c r="A201" s="157" t="s">
        <v>146</v>
      </c>
      <c r="B201" s="158"/>
      <c r="C201" s="158"/>
      <c r="D201" s="158"/>
      <c r="E201" s="158"/>
      <c r="F201" s="159"/>
    </row>
    <row r="202" spans="1:19" ht="24.75" thickBot="1" x14ac:dyDescent="0.45">
      <c r="A202" s="160" t="s">
        <v>147</v>
      </c>
      <c r="B202" s="161"/>
      <c r="C202" s="161"/>
      <c r="D202" s="161"/>
      <c r="E202" s="161"/>
      <c r="F202" s="162"/>
    </row>
    <row r="203" spans="1:19" ht="24.75" thickBot="1" x14ac:dyDescent="0.45">
      <c r="A203" s="145" t="s">
        <v>148</v>
      </c>
      <c r="B203" s="146"/>
      <c r="C203" s="146"/>
      <c r="D203" s="146"/>
      <c r="E203" s="146"/>
      <c r="F203" s="147"/>
    </row>
    <row r="204" spans="1:19" ht="16.5" thickBot="1" x14ac:dyDescent="0.3">
      <c r="A204" s="104" t="s">
        <v>11</v>
      </c>
      <c r="B204" s="104" t="s">
        <v>12</v>
      </c>
      <c r="C204" s="104" t="s">
        <v>13</v>
      </c>
      <c r="D204" s="104" t="s">
        <v>14</v>
      </c>
      <c r="E204" s="104" t="s">
        <v>41</v>
      </c>
      <c r="F204" s="104" t="s">
        <v>16</v>
      </c>
      <c r="R204" s="110"/>
      <c r="S204" s="110"/>
    </row>
    <row r="205" spans="1:19" ht="75.75" thickBot="1" x14ac:dyDescent="0.3">
      <c r="A205" s="116">
        <v>1</v>
      </c>
      <c r="B205" s="118" t="s">
        <v>149</v>
      </c>
      <c r="C205" s="115" t="s">
        <v>18</v>
      </c>
      <c r="D205" s="128" t="s">
        <v>19</v>
      </c>
      <c r="E205" s="127" t="s">
        <v>493</v>
      </c>
      <c r="F205" s="126" t="s">
        <v>494</v>
      </c>
      <c r="Q205" s="80" t="s">
        <v>150</v>
      </c>
      <c r="R205" s="117" t="s">
        <v>21</v>
      </c>
      <c r="S205" s="117" t="s">
        <v>18</v>
      </c>
    </row>
    <row r="206" spans="1:19" ht="56.45" customHeight="1" thickBot="1" x14ac:dyDescent="0.3">
      <c r="A206" s="116">
        <v>2</v>
      </c>
      <c r="B206" s="105" t="s">
        <v>151</v>
      </c>
      <c r="C206" s="115" t="s">
        <v>21</v>
      </c>
      <c r="D206" s="128" t="s">
        <v>23</v>
      </c>
      <c r="E206" s="127" t="s">
        <v>495</v>
      </c>
      <c r="F206" s="126" t="s">
        <v>496</v>
      </c>
      <c r="Q206" s="111" t="s">
        <v>24</v>
      </c>
      <c r="R206" s="110">
        <f>+COUNTIF(C205:C214,R205)</f>
        <v>7</v>
      </c>
      <c r="S206" s="110">
        <f>+COUNTIF(C205:C214,S205)</f>
        <v>3</v>
      </c>
    </row>
    <row r="207" spans="1:19" ht="90.75" thickBot="1" x14ac:dyDescent="0.3">
      <c r="A207" s="116">
        <v>3</v>
      </c>
      <c r="B207" s="105" t="s">
        <v>152</v>
      </c>
      <c r="C207" s="115" t="s">
        <v>21</v>
      </c>
      <c r="D207" s="128" t="s">
        <v>19</v>
      </c>
      <c r="E207" s="127" t="s">
        <v>493</v>
      </c>
      <c r="F207" s="126" t="s">
        <v>497</v>
      </c>
      <c r="Q207" s="111" t="s">
        <v>26</v>
      </c>
      <c r="R207" s="110">
        <f>+COUNTIFS(C205:C214,R205,D205:D214,"")</f>
        <v>0</v>
      </c>
      <c r="S207" s="110">
        <f>+COUNTIFS(C205:C214,S205,D205:D214,"")</f>
        <v>0</v>
      </c>
    </row>
    <row r="208" spans="1:19" ht="120.75" thickBot="1" x14ac:dyDescent="0.3">
      <c r="A208" s="116">
        <v>4</v>
      </c>
      <c r="B208" s="105" t="s">
        <v>153</v>
      </c>
      <c r="C208" s="115" t="s">
        <v>21</v>
      </c>
      <c r="D208" s="128" t="s">
        <v>19</v>
      </c>
      <c r="E208" s="127" t="s">
        <v>498</v>
      </c>
      <c r="F208" s="126" t="s">
        <v>499</v>
      </c>
      <c r="Q208" s="111" t="s">
        <v>23</v>
      </c>
      <c r="R208" s="110">
        <f>+COUNTIFS(C205:C214,R205,D205:D214,Q208)</f>
        <v>1</v>
      </c>
      <c r="S208" s="110">
        <f>+COUNTIFS(C205:C214,S205,D205:D214,Q208)</f>
        <v>0</v>
      </c>
    </row>
    <row r="209" spans="1:19" ht="75.75" thickBot="1" x14ac:dyDescent="0.3">
      <c r="A209" s="116">
        <v>5</v>
      </c>
      <c r="B209" s="105" t="s">
        <v>154</v>
      </c>
      <c r="C209" s="115" t="s">
        <v>21</v>
      </c>
      <c r="D209" s="128" t="s">
        <v>19</v>
      </c>
      <c r="E209" s="127" t="s">
        <v>493</v>
      </c>
      <c r="F209" s="126" t="s">
        <v>500</v>
      </c>
      <c r="Q209" s="111" t="s">
        <v>19</v>
      </c>
      <c r="R209" s="110">
        <f>+COUNTIFS(C205:C214,R205,D205:D214,Q209)</f>
        <v>6</v>
      </c>
      <c r="S209" s="110">
        <f>+COUNTIFS(C205:C214,S205,D205:D214,Q209)</f>
        <v>3</v>
      </c>
    </row>
    <row r="210" spans="1:19" ht="75.75" thickBot="1" x14ac:dyDescent="0.3">
      <c r="A210" s="116">
        <v>6</v>
      </c>
      <c r="B210" s="105" t="s">
        <v>155</v>
      </c>
      <c r="C210" s="115" t="s">
        <v>21</v>
      </c>
      <c r="D210" s="128" t="s">
        <v>19</v>
      </c>
      <c r="E210" s="127" t="s">
        <v>501</v>
      </c>
      <c r="F210" s="126" t="s">
        <v>502</v>
      </c>
      <c r="Q210" s="109" t="str">
        <f>+A203</f>
        <v xml:space="preserve">Indicador Planificación y ejecución de la vinculación con la sociedad  </v>
      </c>
      <c r="R210" s="140" t="str" cm="1">
        <f t="array" ref="R210">+IFERROR(IF((R207+S207)&gt;0,"INGRESAR VALORACIÓN",_xlfn.IFS(AND(R208=R206,S208=S206),'DATOS BÁSICOS'!$A$15,AND(R208=R206,S208&gt;0,S208&lt;S206),'DATOS BÁSICOS'!$A$16,AND(R208=1,S208&lt;S206),'DATOS BÁSICOS'!$A$17,R208=0,'DATOS BÁSICOS'!$A$18)),"RESULTADO NO DEFINIDO")</f>
        <v>POCO-SATISFACTORIO</v>
      </c>
      <c r="S210" s="140"/>
    </row>
    <row r="211" spans="1:19" ht="45.75" thickBot="1" x14ac:dyDescent="0.3">
      <c r="A211" s="116">
        <v>7</v>
      </c>
      <c r="B211" s="105" t="s">
        <v>156</v>
      </c>
      <c r="C211" s="115" t="s">
        <v>18</v>
      </c>
      <c r="D211" s="128" t="s">
        <v>19</v>
      </c>
      <c r="E211" s="127" t="s">
        <v>384</v>
      </c>
      <c r="F211" s="126" t="s">
        <v>503</v>
      </c>
    </row>
    <row r="212" spans="1:19" ht="90" customHeight="1" thickBot="1" x14ac:dyDescent="0.3">
      <c r="A212" s="116">
        <v>8</v>
      </c>
      <c r="B212" s="105" t="s">
        <v>157</v>
      </c>
      <c r="C212" s="115" t="s">
        <v>21</v>
      </c>
      <c r="D212" s="128" t="s">
        <v>19</v>
      </c>
      <c r="E212" s="127" t="s">
        <v>384</v>
      </c>
      <c r="F212" s="126" t="s">
        <v>504</v>
      </c>
    </row>
    <row r="213" spans="1:19" ht="60.75" thickBot="1" x14ac:dyDescent="0.3">
      <c r="A213" s="116">
        <v>9</v>
      </c>
      <c r="B213" s="105" t="s">
        <v>158</v>
      </c>
      <c r="C213" s="115" t="s">
        <v>18</v>
      </c>
      <c r="D213" s="128" t="s">
        <v>19</v>
      </c>
      <c r="E213" s="127" t="s">
        <v>384</v>
      </c>
      <c r="F213" s="126" t="s">
        <v>505</v>
      </c>
    </row>
    <row r="214" spans="1:19" ht="60.75" thickBot="1" x14ac:dyDescent="0.3">
      <c r="A214" s="116">
        <v>10</v>
      </c>
      <c r="B214" s="105" t="s">
        <v>159</v>
      </c>
      <c r="C214" s="115" t="s">
        <v>21</v>
      </c>
      <c r="D214" s="128" t="s">
        <v>19</v>
      </c>
      <c r="E214" s="127" t="s">
        <v>384</v>
      </c>
      <c r="F214" s="126" t="s">
        <v>506</v>
      </c>
    </row>
    <row r="215" spans="1:19" ht="19.5" thickBot="1" x14ac:dyDescent="0.3">
      <c r="A215" s="148" t="s">
        <v>36</v>
      </c>
      <c r="B215" s="149"/>
      <c r="C215" s="113" t="str" cm="1">
        <f t="array" ref="C215">+IFERROR(IF((R207+S207)&gt;0,"INGRESAR VALORACIÓN",_xlfn.IFS(AND(R208=R206,S208=S206),'DATOS BÁSICOS'!$A$15,AND(R208=R206,S208&lt;&gt;0,S208&lt;S206),'DATOS BÁSICOS'!$A$16,AND(R208&gt;=1,S208&lt;=S206),'DATOS BÁSICOS'!$A$17,R208=0,'DATOS BÁSICOS'!$A$18)),"RESULTADO NO DEFINIDO")</f>
        <v>POCO-SATISFACTORIO</v>
      </c>
      <c r="D215" s="123" t="s">
        <v>37</v>
      </c>
      <c r="E215" s="103" t="s">
        <v>38</v>
      </c>
      <c r="F215" s="152"/>
    </row>
    <row r="216" spans="1:19" ht="24.75" thickBot="1" x14ac:dyDescent="0.3">
      <c r="A216" s="150"/>
      <c r="B216" s="151"/>
      <c r="C216" s="112">
        <f>+IFERROR(VLOOKUP(C215,VALORACIÓN_INDI[],4,0),"")</f>
        <v>0.35</v>
      </c>
      <c r="D216" s="102">
        <f>+VLOOKUP(Q205,PESOS!$BD$2:$BM$45,'INDICADORES CUALITATIVOS'!$S$7,0)</f>
        <v>0.06</v>
      </c>
      <c r="E216" s="101">
        <f>+IFERROR(C216*D216,"")</f>
        <v>2.0999999999999998E-2</v>
      </c>
      <c r="F216" s="153"/>
    </row>
    <row r="217" spans="1:19" x14ac:dyDescent="0.25">
      <c r="A217" s="141" t="s">
        <v>39</v>
      </c>
      <c r="B217" s="141"/>
      <c r="C217" s="143"/>
      <c r="D217" s="143"/>
      <c r="E217" s="143"/>
      <c r="F217" s="143"/>
    </row>
    <row r="218" spans="1:19" ht="15.75" thickBot="1" x14ac:dyDescent="0.3">
      <c r="A218" s="142"/>
      <c r="B218" s="142"/>
      <c r="C218" s="144"/>
      <c r="D218" s="144"/>
      <c r="E218" s="144"/>
      <c r="F218" s="144"/>
    </row>
    <row r="219" spans="1:19" ht="15.75" thickBot="1" x14ac:dyDescent="0.3"/>
    <row r="220" spans="1:19" ht="24.75" thickBot="1" x14ac:dyDescent="0.45">
      <c r="A220" s="145" t="s">
        <v>160</v>
      </c>
      <c r="B220" s="146"/>
      <c r="C220" s="146"/>
      <c r="D220" s="146"/>
      <c r="E220" s="146"/>
      <c r="F220" s="147"/>
    </row>
    <row r="221" spans="1:19" ht="24.75" thickBot="1" x14ac:dyDescent="0.45">
      <c r="A221" s="154" t="s">
        <v>161</v>
      </c>
      <c r="B221" s="155"/>
      <c r="C221" s="155"/>
      <c r="D221" s="155"/>
      <c r="E221" s="155"/>
      <c r="F221" s="156"/>
    </row>
    <row r="222" spans="1:19" ht="16.5" thickBot="1" x14ac:dyDescent="0.3">
      <c r="A222" s="104" t="s">
        <v>11</v>
      </c>
      <c r="B222" s="104" t="s">
        <v>12</v>
      </c>
      <c r="C222" s="104" t="s">
        <v>13</v>
      </c>
      <c r="D222" s="104" t="s">
        <v>14</v>
      </c>
      <c r="E222" s="104" t="s">
        <v>41</v>
      </c>
      <c r="F222" s="104" t="s">
        <v>16</v>
      </c>
      <c r="R222" s="110"/>
      <c r="S222" s="110"/>
    </row>
    <row r="223" spans="1:19" ht="75.75" thickBot="1" x14ac:dyDescent="0.3">
      <c r="A223" s="116">
        <v>1</v>
      </c>
      <c r="B223" s="118" t="s">
        <v>162</v>
      </c>
      <c r="C223" s="115" t="s">
        <v>18</v>
      </c>
      <c r="D223" s="128" t="s">
        <v>19</v>
      </c>
      <c r="E223" s="127" t="s">
        <v>384</v>
      </c>
      <c r="F223" s="126" t="s">
        <v>507</v>
      </c>
      <c r="Q223" s="80" t="s">
        <v>163</v>
      </c>
      <c r="R223" s="117" t="s">
        <v>21</v>
      </c>
      <c r="S223" s="117" t="s">
        <v>18</v>
      </c>
    </row>
    <row r="224" spans="1:19" ht="120.75" thickBot="1" x14ac:dyDescent="0.3">
      <c r="A224" s="116">
        <v>2</v>
      </c>
      <c r="B224" s="105" t="s">
        <v>164</v>
      </c>
      <c r="C224" s="115" t="s">
        <v>21</v>
      </c>
      <c r="D224" s="128" t="s">
        <v>23</v>
      </c>
      <c r="E224" s="127" t="s">
        <v>508</v>
      </c>
      <c r="F224" s="126" t="s">
        <v>509</v>
      </c>
      <c r="Q224" s="111" t="s">
        <v>24</v>
      </c>
      <c r="R224" s="110">
        <f>+COUNTIF(C223:C225,R223)</f>
        <v>1</v>
      </c>
      <c r="S224" s="110">
        <f>+COUNTIF(C223:C225,S223)</f>
        <v>2</v>
      </c>
    </row>
    <row r="225" spans="1:19" ht="120.75" thickBot="1" x14ac:dyDescent="0.3">
      <c r="A225" s="116">
        <v>3</v>
      </c>
      <c r="B225" s="105" t="s">
        <v>165</v>
      </c>
      <c r="C225" s="115" t="s">
        <v>18</v>
      </c>
      <c r="D225" s="128" t="s">
        <v>23</v>
      </c>
      <c r="E225" s="127" t="s">
        <v>510</v>
      </c>
      <c r="F225" s="126" t="s">
        <v>511</v>
      </c>
      <c r="Q225" s="111" t="s">
        <v>26</v>
      </c>
      <c r="R225" s="110">
        <f>+COUNTIFS(C223:C225,R223,D223:D225,"")</f>
        <v>0</v>
      </c>
      <c r="S225" s="110">
        <f>+COUNTIFS(C223:C225,S223,D223:D225,"")</f>
        <v>0</v>
      </c>
    </row>
    <row r="226" spans="1:19" ht="19.5" thickBot="1" x14ac:dyDescent="0.3">
      <c r="A226" s="148" t="s">
        <v>36</v>
      </c>
      <c r="B226" s="149"/>
      <c r="C226" s="125" t="str" cm="1">
        <f t="array" ref="C226">+IFERROR(IF((R225+S225)&gt;0,"INGRESAR VALORACIÓN",_xlfn.IFS(AND(R226=R224,S226=S224),'DATOS BÁSICOS'!$A$15,AND(R226=R224,S226&lt;&gt;0,S226&lt;S224),'DATOS BÁSICOS'!$A$16,AND(R226&gt;=1,S226&lt;=S224),'DATOS BÁSICOS'!$A$17,R226=0,'DATOS BÁSICOS'!$A$18)),"RESULTADO NO DEFINIDO")</f>
        <v>CUASI-SATISFACTORIO</v>
      </c>
      <c r="D226" s="103" t="s">
        <v>37</v>
      </c>
      <c r="E226" s="103" t="s">
        <v>38</v>
      </c>
      <c r="F226" s="152"/>
      <c r="Q226" s="111" t="s">
        <v>23</v>
      </c>
      <c r="R226" s="110">
        <f>+COUNTIFS(C223:C225,R223,D223:D225,Q226)</f>
        <v>1</v>
      </c>
      <c r="S226" s="110">
        <f>+COUNTIFS(C223:C225,S223,D223:D225,Q226)</f>
        <v>1</v>
      </c>
    </row>
    <row r="227" spans="1:19" ht="24.75" thickBot="1" x14ac:dyDescent="0.3">
      <c r="A227" s="150"/>
      <c r="B227" s="151"/>
      <c r="C227" s="112">
        <f>+IFERROR(VLOOKUP(C226,VALORACIÓN_INDI[],4,0),"")</f>
        <v>0.7</v>
      </c>
      <c r="D227" s="124">
        <f>+VLOOKUP(Q223,PESOS!$BD$2:$BM$45,'INDICADORES CUALITATIVOS'!$S$7,0)</f>
        <v>0.04</v>
      </c>
      <c r="E227" s="101">
        <f>+IFERROR(C227*D227,"")</f>
        <v>2.7999999999999997E-2</v>
      </c>
      <c r="F227" s="153"/>
      <c r="Q227" s="111" t="s">
        <v>19</v>
      </c>
      <c r="R227" s="110">
        <f>+COUNTIFS(C223:C225,R223,D223:D225,Q227)</f>
        <v>0</v>
      </c>
      <c r="S227" s="110">
        <f>+COUNTIFS(C223:C225,S223,D223:D225,Q227)</f>
        <v>1</v>
      </c>
    </row>
    <row r="228" spans="1:19" ht="30" x14ac:dyDescent="0.25">
      <c r="A228" s="141" t="s">
        <v>39</v>
      </c>
      <c r="B228" s="141"/>
      <c r="C228" s="143"/>
      <c r="D228" s="143"/>
      <c r="E228" s="143"/>
      <c r="F228" s="143"/>
      <c r="Q228" s="109" t="str">
        <f>+A221</f>
        <v xml:space="preserve">Indicador Presencia de la institución en la comunidad </v>
      </c>
      <c r="R228" s="140" t="str" cm="1">
        <f t="array" ref="R228">+IFERROR(IF((R225+S225)&gt;0,"INGRESAR VALORACIÓN",_xlfn.IFS(AND(R226=R224,S226=S224),'DATOS BÁSICOS'!$A$15,AND(R226=R224,S226&gt;0,S226&lt;S224),'DATOS BÁSICOS'!$A$16,AND(R226=1,S226&lt;S224),'DATOS BÁSICOS'!$A$17,R226=0,'DATOS BÁSICOS'!$A$18)),"RESULTADO NO DEFINIDO")</f>
        <v>CUASI-SATISFACTORIO</v>
      </c>
      <c r="S228" s="140"/>
    </row>
    <row r="229" spans="1:19" ht="15.75" thickBot="1" x14ac:dyDescent="0.3">
      <c r="A229" s="142"/>
      <c r="B229" s="142"/>
      <c r="C229" s="144"/>
      <c r="D229" s="144"/>
      <c r="E229" s="144"/>
      <c r="F229" s="144"/>
    </row>
  </sheetData>
  <autoFilter ref="A8:F24" xr:uid="{8EB77725-CA8B-4946-89B5-2939063E5B3F}"/>
  <mergeCells count="116">
    <mergeCell ref="A165:F165"/>
    <mergeCell ref="A166:F166"/>
    <mergeCell ref="R173:S173"/>
    <mergeCell ref="A176:B177"/>
    <mergeCell ref="F176:F177"/>
    <mergeCell ref="A178:B179"/>
    <mergeCell ref="C178:F179"/>
    <mergeCell ref="A195:B196"/>
    <mergeCell ref="C195:F196"/>
    <mergeCell ref="A182:F182"/>
    <mergeCell ref="A183:F183"/>
    <mergeCell ref="A193:B194"/>
    <mergeCell ref="F193:F194"/>
    <mergeCell ref="R190:S190"/>
    <mergeCell ref="A72:F72"/>
    <mergeCell ref="R49:S49"/>
    <mergeCell ref="A50:B51"/>
    <mergeCell ref="F50:F51"/>
    <mergeCell ref="R33:S33"/>
    <mergeCell ref="A36:B37"/>
    <mergeCell ref="F36:F37"/>
    <mergeCell ref="E150:E153"/>
    <mergeCell ref="A71:F71"/>
    <mergeCell ref="A116:F116"/>
    <mergeCell ref="A38:B39"/>
    <mergeCell ref="C38:F39"/>
    <mergeCell ref="A42:F42"/>
    <mergeCell ref="A52:B53"/>
    <mergeCell ref="C52:F53"/>
    <mergeCell ref="A111:B112"/>
    <mergeCell ref="F111:F112"/>
    <mergeCell ref="A142:B143"/>
    <mergeCell ref="C142:F143"/>
    <mergeCell ref="A146:F146"/>
    <mergeCell ref="A147:F147"/>
    <mergeCell ref="A148:F148"/>
    <mergeCell ref="F150:F153"/>
    <mergeCell ref="A150:A153"/>
    <mergeCell ref="A5:F5"/>
    <mergeCell ref="A7:F7"/>
    <mergeCell ref="R14:S14"/>
    <mergeCell ref="A21:B22"/>
    <mergeCell ref="F21:F22"/>
    <mergeCell ref="A26:F26"/>
    <mergeCell ref="A23:B24"/>
    <mergeCell ref="C23:F24"/>
    <mergeCell ref="A56:F56"/>
    <mergeCell ref="R111:S111"/>
    <mergeCell ref="A113:B114"/>
    <mergeCell ref="C113:F114"/>
    <mergeCell ref="A117:F117"/>
    <mergeCell ref="A118:F118"/>
    <mergeCell ref="R125:S125"/>
    <mergeCell ref="A6:F6"/>
    <mergeCell ref="A99:B100"/>
    <mergeCell ref="F99:F100"/>
    <mergeCell ref="A101:B102"/>
    <mergeCell ref="C101:F102"/>
    <mergeCell ref="A104:F104"/>
    <mergeCell ref="R91:S91"/>
    <mergeCell ref="R79:S79"/>
    <mergeCell ref="A79:B80"/>
    <mergeCell ref="F79:F80"/>
    <mergeCell ref="A81:B82"/>
    <mergeCell ref="C81:F82"/>
    <mergeCell ref="A84:F84"/>
    <mergeCell ref="R63:S63"/>
    <mergeCell ref="A66:B67"/>
    <mergeCell ref="F66:F67"/>
    <mergeCell ref="A68:B69"/>
    <mergeCell ref="C68:F69"/>
    <mergeCell ref="R155:S155"/>
    <mergeCell ref="A159:B160"/>
    <mergeCell ref="F159:F160"/>
    <mergeCell ref="A154:A158"/>
    <mergeCell ref="B154:B158"/>
    <mergeCell ref="C154:C158"/>
    <mergeCell ref="D154:D158"/>
    <mergeCell ref="E154:E158"/>
    <mergeCell ref="F154:F158"/>
    <mergeCell ref="A140:B141"/>
    <mergeCell ref="F140:F141"/>
    <mergeCell ref="A161:B162"/>
    <mergeCell ref="C161:F162"/>
    <mergeCell ref="A131:B132"/>
    <mergeCell ref="C131:F132"/>
    <mergeCell ref="A134:F134"/>
    <mergeCell ref="A129:B130"/>
    <mergeCell ref="F129:F130"/>
    <mergeCell ref="B150:B153"/>
    <mergeCell ref="C150:C153"/>
    <mergeCell ref="D150:D153"/>
    <mergeCell ref="A1:C1"/>
    <mergeCell ref="D1:F1"/>
    <mergeCell ref="A2:C2"/>
    <mergeCell ref="D2:F2"/>
    <mergeCell ref="A3:C3"/>
    <mergeCell ref="D3:F3"/>
    <mergeCell ref="A4:C4"/>
    <mergeCell ref="D4:F4"/>
    <mergeCell ref="R228:S228"/>
    <mergeCell ref="A228:B229"/>
    <mergeCell ref="C228:F229"/>
    <mergeCell ref="A203:F203"/>
    <mergeCell ref="R210:S210"/>
    <mergeCell ref="A215:B216"/>
    <mergeCell ref="F215:F216"/>
    <mergeCell ref="A217:B218"/>
    <mergeCell ref="C217:F218"/>
    <mergeCell ref="A220:F220"/>
    <mergeCell ref="A221:F221"/>
    <mergeCell ref="A201:F201"/>
    <mergeCell ref="A202:F202"/>
    <mergeCell ref="A226:B227"/>
    <mergeCell ref="F226:F227"/>
    <mergeCell ref="R141:S141"/>
  </mergeCells>
  <dataValidations count="4">
    <dataValidation type="list" allowBlank="1" showInputMessage="1" showErrorMessage="1" sqref="C223:C225 C150:C158 C136:C139 C120:C128 C106:C110 C86:C98 C74:C78 C58:C65 C44:C49 C28:C35 C9:C20 C168:C175 C185:C192 C205:C214" xr:uid="{8A66BC97-6D98-4682-8980-9A25C5C0AAC6}">
      <formula1>ELEFUND_tipo</formula1>
    </dataValidation>
    <dataValidation type="list" allowBlank="1" showInputMessage="1" showErrorMessage="1" sqref="Q28 Q44 Q9 Q58 Q74 Q86 Q106 Q120 Q136 Q150 Q223 Q168 Q185 Q205" xr:uid="{DABF6150-7308-4AEB-AB15-02426FE0DC0F}">
      <formula1>IndicadoresCodigo</formula1>
    </dataValidation>
    <dataValidation type="list" allowBlank="1" showInputMessage="1" showErrorMessage="1" sqref="Q7 Q42 Q72 Q84 Q104" xr:uid="{DEA74102-46B3-40A8-9DC0-B094E7DEA36F}">
      <formula1>Tipo_Pesos</formula1>
    </dataValidation>
    <dataValidation type="list" allowBlank="1" showInputMessage="1" showErrorMessage="1" sqref="D106:E110 D9:D20 D28:D35 D44:D49 D58:D65 D74:D78 D185:D192 D86:D98 D120:D128 D168:D175 D136:D139 D205:D214 D154 D150 D223:D225" xr:uid="{9D0C4785-54E8-4B11-9304-94EA52F3E86B}">
      <formula1>ESTADOEF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CE21-1D8F-4B0D-936B-DEBA93CD95B5}">
  <dimension ref="A2:C18"/>
  <sheetViews>
    <sheetView workbookViewId="0">
      <selection activeCell="A4" sqref="A4"/>
    </sheetView>
  </sheetViews>
  <sheetFormatPr defaultRowHeight="15" x14ac:dyDescent="0.25"/>
  <cols>
    <col min="1" max="1" width="25.140625" bestFit="1" customWidth="1"/>
    <col min="2" max="2" width="10.42578125" bestFit="1" customWidth="1"/>
  </cols>
  <sheetData>
    <row r="2" spans="1:3" x14ac:dyDescent="0.25">
      <c r="A2" t="s">
        <v>516</v>
      </c>
      <c r="B2" t="s">
        <v>517</v>
      </c>
      <c r="C2" t="s">
        <v>522</v>
      </c>
    </row>
    <row r="3" spans="1:3" x14ac:dyDescent="0.25">
      <c r="A3" t="s">
        <v>523</v>
      </c>
      <c r="B3" s="130">
        <v>46140</v>
      </c>
    </row>
    <row r="4" spans="1:3" x14ac:dyDescent="0.25">
      <c r="A4" t="s">
        <v>520</v>
      </c>
      <c r="B4" t="s">
        <v>521</v>
      </c>
    </row>
    <row r="6" spans="1:3" x14ac:dyDescent="0.25">
      <c r="A6" t="s">
        <v>524</v>
      </c>
    </row>
    <row r="11" spans="1:3" x14ac:dyDescent="0.25">
      <c r="A11" t="s">
        <v>518</v>
      </c>
      <c r="B11" t="s">
        <v>519</v>
      </c>
    </row>
    <row r="12" spans="1:3" x14ac:dyDescent="0.25">
      <c r="A12" t="s">
        <v>525</v>
      </c>
    </row>
    <row r="13" spans="1:3" x14ac:dyDescent="0.25">
      <c r="A13" t="s">
        <v>526</v>
      </c>
    </row>
    <row r="14" spans="1:3" x14ac:dyDescent="0.25">
      <c r="A14" t="s">
        <v>527</v>
      </c>
    </row>
    <row r="18" spans="1:2" x14ac:dyDescent="0.25">
      <c r="A18" t="s">
        <v>528</v>
      </c>
      <c r="B18" t="s">
        <v>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8EC3-821A-4185-AA3E-0B31F046259C}">
  <dimension ref="A3:D18"/>
  <sheetViews>
    <sheetView topLeftCell="A2" workbookViewId="0">
      <selection activeCell="C34" sqref="C34"/>
    </sheetView>
  </sheetViews>
  <sheetFormatPr defaultColWidth="11.42578125" defaultRowHeight="15" x14ac:dyDescent="0.25"/>
  <cols>
    <col min="1" max="1" width="36.5703125" customWidth="1"/>
    <col min="2" max="2" width="33" customWidth="1"/>
    <col min="3" max="3" width="36.28515625" bestFit="1" customWidth="1"/>
  </cols>
  <sheetData>
    <row r="3" spans="1:4" x14ac:dyDescent="0.25">
      <c r="A3" t="s">
        <v>166</v>
      </c>
    </row>
    <row r="4" spans="1:4" x14ac:dyDescent="0.25">
      <c r="A4" t="s">
        <v>23</v>
      </c>
    </row>
    <row r="5" spans="1:4" x14ac:dyDescent="0.25">
      <c r="A5" t="s">
        <v>19</v>
      </c>
    </row>
    <row r="7" spans="1:4" x14ac:dyDescent="0.25">
      <c r="A7" t="s">
        <v>167</v>
      </c>
    </row>
    <row r="8" spans="1:4" x14ac:dyDescent="0.25">
      <c r="A8" t="s">
        <v>18</v>
      </c>
    </row>
    <row r="9" spans="1:4" x14ac:dyDescent="0.25">
      <c r="A9" t="s">
        <v>21</v>
      </c>
    </row>
    <row r="13" spans="1:4" x14ac:dyDescent="0.25">
      <c r="B13" t="s">
        <v>168</v>
      </c>
      <c r="C13" t="s">
        <v>169</v>
      </c>
    </row>
    <row r="14" spans="1:4" x14ac:dyDescent="0.25">
      <c r="A14" t="s">
        <v>170</v>
      </c>
      <c r="B14" t="s">
        <v>171</v>
      </c>
      <c r="C14" t="s">
        <v>18</v>
      </c>
      <c r="D14" t="s">
        <v>172</v>
      </c>
    </row>
    <row r="15" spans="1:4" x14ac:dyDescent="0.25">
      <c r="A15" t="s">
        <v>173</v>
      </c>
      <c r="B15" t="s">
        <v>174</v>
      </c>
      <c r="C15" t="s">
        <v>174</v>
      </c>
      <c r="D15" s="100">
        <v>1</v>
      </c>
    </row>
    <row r="16" spans="1:4" x14ac:dyDescent="0.25">
      <c r="A16" t="s">
        <v>175</v>
      </c>
      <c r="B16" t="s">
        <v>174</v>
      </c>
      <c r="C16" t="s">
        <v>176</v>
      </c>
      <c r="D16" s="100">
        <v>0.7</v>
      </c>
    </row>
    <row r="17" spans="1:4" x14ac:dyDescent="0.25">
      <c r="A17" t="s">
        <v>177</v>
      </c>
      <c r="B17" t="s">
        <v>178</v>
      </c>
      <c r="C17" t="s">
        <v>176</v>
      </c>
      <c r="D17" s="100">
        <v>0.35</v>
      </c>
    </row>
    <row r="18" spans="1:4" x14ac:dyDescent="0.25">
      <c r="A18" t="s">
        <v>179</v>
      </c>
      <c r="B18" t="s">
        <v>180</v>
      </c>
      <c r="C18" t="s">
        <v>181</v>
      </c>
      <c r="D18" s="100">
        <v>0</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44353-F949-408A-B693-D59BF9F464F4}">
  <sheetPr filterMode="1"/>
  <dimension ref="A1:BM45"/>
  <sheetViews>
    <sheetView zoomScale="85" zoomScaleNormal="85" workbookViewId="0">
      <selection activeCell="C34" sqref="C34"/>
    </sheetView>
  </sheetViews>
  <sheetFormatPr defaultColWidth="11.42578125" defaultRowHeight="15" x14ac:dyDescent="0.25"/>
  <cols>
    <col min="2" max="2" width="3" bestFit="1" customWidth="1"/>
    <col min="4" max="4" width="30" customWidth="1"/>
    <col min="5" max="5" width="10.5703125" bestFit="1" customWidth="1"/>
    <col min="6" max="6" width="23.5703125" hidden="1" customWidth="1"/>
    <col min="7" max="8" width="9.7109375" hidden="1" customWidth="1"/>
    <col min="19" max="19" width="17.42578125" bestFit="1" customWidth="1"/>
    <col min="20" max="20" width="23.28515625" customWidth="1"/>
    <col min="21" max="21" width="8.28515625" bestFit="1" customWidth="1"/>
    <col min="22" max="22" width="30.7109375" bestFit="1" customWidth="1"/>
    <col min="23" max="23" width="10.42578125" bestFit="1" customWidth="1"/>
    <col min="24" max="24" width="17.28515625" customWidth="1"/>
    <col min="25" max="25" width="17.42578125" bestFit="1" customWidth="1"/>
    <col min="48" max="48" width="15.7109375" customWidth="1"/>
    <col min="49" max="49" width="13.28515625" customWidth="1"/>
    <col min="54" max="54" width="32.28515625" customWidth="1"/>
  </cols>
  <sheetData>
    <row r="1" spans="1:65" ht="60.75" thickBot="1" x14ac:dyDescent="0.3">
      <c r="A1" s="95" t="s">
        <v>182</v>
      </c>
      <c r="B1" s="95" t="s">
        <v>183</v>
      </c>
      <c r="C1" s="95" t="s">
        <v>184</v>
      </c>
      <c r="D1" s="95" t="s">
        <v>185</v>
      </c>
      <c r="E1" s="95" t="s">
        <v>5</v>
      </c>
      <c r="F1" s="95" t="s">
        <v>186</v>
      </c>
      <c r="G1" s="95" t="s">
        <v>187</v>
      </c>
      <c r="H1" s="95" t="s">
        <v>188</v>
      </c>
      <c r="I1" s="95" t="s">
        <v>189</v>
      </c>
      <c r="J1" s="99" t="s">
        <v>190</v>
      </c>
      <c r="K1" s="95" t="s">
        <v>191</v>
      </c>
      <c r="L1" s="95" t="s">
        <v>192</v>
      </c>
    </row>
    <row r="2" spans="1:65" ht="39" hidden="1" thickBot="1" x14ac:dyDescent="0.3">
      <c r="A2" s="89" t="s">
        <v>193</v>
      </c>
      <c r="B2" s="89">
        <v>1</v>
      </c>
      <c r="C2" s="89" t="s">
        <v>20</v>
      </c>
      <c r="D2" s="98" t="s">
        <v>194</v>
      </c>
      <c r="E2" s="89" t="s">
        <v>195</v>
      </c>
      <c r="F2" s="89"/>
      <c r="G2" s="89"/>
      <c r="H2" s="89"/>
      <c r="I2" s="18" cm="1">
        <f t="array" ref="I2">+_xlfn.IFS($U$2=1,BK3,$U$2=2,BL3,$U$2=3,+BM3)</f>
        <v>0.04</v>
      </c>
      <c r="J2">
        <v>1</v>
      </c>
      <c r="K2" s="13" cm="1">
        <f t="array" ref="K2">+IF(E2="Cuantitativo",_xlfn.IFS(J2&lt;$U$30,0,J2&lt;$U$29,0.35,J2&lt;$U$28,0.7,J2&gt;=$U$28,1),J2)</f>
        <v>1</v>
      </c>
      <c r="L2" s="12">
        <f t="shared" ref="L2:L44" si="0">+I2*K2</f>
        <v>0.04</v>
      </c>
      <c r="O2" s="11"/>
      <c r="T2" s="90" t="s">
        <v>196</v>
      </c>
      <c r="U2" s="97">
        <v>1</v>
      </c>
      <c r="V2" s="221" t="str">
        <f>+VLOOKUP(U2,AV10:AW12,2,0)</f>
        <v>A. Pesos Con TP y MT</v>
      </c>
      <c r="W2" s="221"/>
      <c r="X2" s="96" t="s">
        <v>197</v>
      </c>
      <c r="BA2" s="95" t="s">
        <v>182</v>
      </c>
      <c r="BB2" s="95" t="s">
        <v>198</v>
      </c>
      <c r="BC2" s="95" t="s">
        <v>183</v>
      </c>
      <c r="BD2" s="95" t="s">
        <v>184</v>
      </c>
      <c r="BE2" s="95" t="s">
        <v>199</v>
      </c>
      <c r="BF2" s="95" t="s">
        <v>185</v>
      </c>
      <c r="BG2" s="95" t="s">
        <v>5</v>
      </c>
      <c r="BH2" s="95" t="s">
        <v>186</v>
      </c>
      <c r="BI2" s="95" t="s">
        <v>187</v>
      </c>
      <c r="BJ2" s="95" t="s">
        <v>188</v>
      </c>
      <c r="BK2" s="95" t="s">
        <v>200</v>
      </c>
      <c r="BL2" s="94" t="s">
        <v>201</v>
      </c>
      <c r="BM2" s="94" t="s">
        <v>202</v>
      </c>
    </row>
    <row r="3" spans="1:65" ht="45.75" hidden="1" thickBot="1" x14ac:dyDescent="0.3">
      <c r="A3" s="80" t="s">
        <v>193</v>
      </c>
      <c r="B3" s="80">
        <v>2</v>
      </c>
      <c r="C3" s="80" t="s">
        <v>43</v>
      </c>
      <c r="D3" s="84" t="s">
        <v>203</v>
      </c>
      <c r="E3" s="79" t="s">
        <v>195</v>
      </c>
      <c r="F3" s="79"/>
      <c r="G3" s="79"/>
      <c r="H3" s="79"/>
      <c r="I3" s="1" cm="1">
        <f t="array" ref="I3">+_xlfn.IFS($U$2=1,BK4,$U$2=2,BL4,$U$2=3,+BM4)</f>
        <v>0.02</v>
      </c>
      <c r="J3">
        <v>0.7</v>
      </c>
      <c r="K3" s="13" cm="1">
        <f t="array" ref="K3">+IF(E3="Cuantitativo",_xlfn.IFS(J3&lt;$U$30,0,J3&lt;$U$29,0.35,J3&lt;$U$28,0.7,J3&gt;=$U$28,1),J3)</f>
        <v>0.7</v>
      </c>
      <c r="L3" s="12">
        <f t="shared" si="0"/>
        <v>1.3999999999999999E-2</v>
      </c>
      <c r="O3" s="11"/>
      <c r="U3" s="92" t="s">
        <v>204</v>
      </c>
      <c r="V3" s="93" t="s">
        <v>205</v>
      </c>
      <c r="W3" s="92" t="s">
        <v>206</v>
      </c>
      <c r="X3" s="91" t="s">
        <v>207</v>
      </c>
      <c r="Y3" s="90" t="s">
        <v>170</v>
      </c>
      <c r="BA3" s="89" t="s">
        <v>193</v>
      </c>
      <c r="BB3" s="89" t="s">
        <v>208</v>
      </c>
      <c r="BC3" s="89">
        <v>1</v>
      </c>
      <c r="BD3" s="89" t="s">
        <v>20</v>
      </c>
      <c r="BE3" s="89" t="s">
        <v>209</v>
      </c>
      <c r="BF3" s="89" t="s">
        <v>194</v>
      </c>
      <c r="BG3" s="89" t="s">
        <v>195</v>
      </c>
      <c r="BH3" s="89"/>
      <c r="BI3" s="89"/>
      <c r="BJ3" s="89"/>
      <c r="BK3" s="18">
        <v>0.04</v>
      </c>
      <c r="BL3" s="18">
        <v>0.04</v>
      </c>
      <c r="BM3" s="17">
        <v>0.04</v>
      </c>
    </row>
    <row r="4" spans="1:65" ht="51.75" hidden="1" thickBot="1" x14ac:dyDescent="0.3">
      <c r="A4" s="80" t="s">
        <v>193</v>
      </c>
      <c r="B4" s="80">
        <v>3</v>
      </c>
      <c r="C4" s="80" t="s">
        <v>53</v>
      </c>
      <c r="D4" s="84" t="s">
        <v>210</v>
      </c>
      <c r="E4" s="79" t="s">
        <v>195</v>
      </c>
      <c r="F4" s="79"/>
      <c r="G4" s="79"/>
      <c r="H4" s="79"/>
      <c r="I4" s="1" cm="1">
        <f t="array" ref="I4">+_xlfn.IFS($U$2=1,BK5,$U$2=2,BL5,$U$2=3,+BM5)</f>
        <v>0.03</v>
      </c>
      <c r="J4">
        <v>1</v>
      </c>
      <c r="K4" s="13" cm="1">
        <f t="array" ref="K4">+IF(E4="Cuantitativo",_xlfn.IFS(J4&lt;$U$30,0,J4&lt;$U$29,0.35,J4&lt;$U$28,0.7,J4&gt;=$U$28,1),J4)</f>
        <v>1</v>
      </c>
      <c r="L4" s="12">
        <f t="shared" si="0"/>
        <v>0.03</v>
      </c>
      <c r="O4" s="11"/>
      <c r="T4" s="88" t="s">
        <v>193</v>
      </c>
      <c r="U4" s="76">
        <v>1</v>
      </c>
      <c r="V4" s="76">
        <f t="shared" ref="V4:V9" ca="1" si="1">+X4/W4*U4</f>
        <v>0.92857142857142849</v>
      </c>
      <c r="W4" s="76">
        <f ca="1">+SUMIF($A$2:B$44,$T4,$I$2:$I$44)</f>
        <v>0.21</v>
      </c>
      <c r="X4" s="76">
        <f>+SUMIF($A$2:A$44,$T4,L2:L44)</f>
        <v>0.19499999999999998</v>
      </c>
      <c r="Y4" s="75" t="str" cm="1">
        <f t="array" aca="1" ref="Y4" ca="1">+_xlfn.IFS(X4&lt;AE30,T31,X4&lt;AE29,T30,X4&lt;AE28,T29,X4=AE27,T28)</f>
        <v>Cuasi-satisfactorio</v>
      </c>
      <c r="BA4" s="80" t="s">
        <v>193</v>
      </c>
      <c r="BB4" s="80" t="s">
        <v>208</v>
      </c>
      <c r="BC4" s="80">
        <v>2</v>
      </c>
      <c r="BD4" s="80" t="s">
        <v>43</v>
      </c>
      <c r="BE4" s="79" t="s">
        <v>211</v>
      </c>
      <c r="BF4" s="79" t="s">
        <v>203</v>
      </c>
      <c r="BG4" s="79" t="s">
        <v>195</v>
      </c>
      <c r="BH4" s="79"/>
      <c r="BI4" s="79"/>
      <c r="BJ4" s="79"/>
      <c r="BK4" s="1">
        <v>0.02</v>
      </c>
      <c r="BL4" s="2">
        <v>0.02</v>
      </c>
      <c r="BM4" s="1">
        <v>0.02</v>
      </c>
    </row>
    <row r="5" spans="1:65" ht="39" hidden="1" thickBot="1" x14ac:dyDescent="0.3">
      <c r="A5" s="80" t="s">
        <v>193</v>
      </c>
      <c r="B5" s="80">
        <v>4</v>
      </c>
      <c r="C5" s="80" t="s">
        <v>61</v>
      </c>
      <c r="D5" s="84" t="s">
        <v>212</v>
      </c>
      <c r="E5" s="79" t="s">
        <v>195</v>
      </c>
      <c r="F5" s="79"/>
      <c r="G5" s="79"/>
      <c r="H5" s="79"/>
      <c r="I5" s="1" cm="1">
        <f t="array" ref="I5">+_xlfn.IFS($U$2=1,BK6,$U$2=2,BL6,$U$2=3,+BM6)</f>
        <v>0.03</v>
      </c>
      <c r="J5">
        <v>1</v>
      </c>
      <c r="K5" s="13" cm="1">
        <f t="array" ref="K5">+IF(E5="Cuantitativo",_xlfn.IFS(J5&lt;$U$30,0,J5&lt;$U$29,0.35,J5&lt;$U$28,0.7,J5&gt;=$U$28,1),J5)</f>
        <v>1</v>
      </c>
      <c r="L5" s="12">
        <f t="shared" si="0"/>
        <v>0.03</v>
      </c>
      <c r="O5" s="11"/>
      <c r="T5" s="87" t="s">
        <v>213</v>
      </c>
      <c r="U5" s="76">
        <v>1</v>
      </c>
      <c r="V5" s="76">
        <f t="shared" ca="1" si="1"/>
        <v>0.84999999999999987</v>
      </c>
      <c r="W5" s="76">
        <f ca="1">+SUMIF($A$2:B$44,$T5,$I$2:$I$44)</f>
        <v>0.1</v>
      </c>
      <c r="X5" s="76">
        <f>+SUMIF(A3:A45,T5,L3:L45)</f>
        <v>8.4999999999999992E-2</v>
      </c>
      <c r="Y5" s="75" t="str" cm="1">
        <f t="array" aca="1" ref="Y5" ca="1">+_xlfn.IFS(X5&lt;AF$30,T$31,X5&lt;AF$29,T$30,X5&lt;AF$28,T$29,X5=AF$27,T$28)</f>
        <v>Cuasi-satisfactorio</v>
      </c>
      <c r="BA5" s="80" t="s">
        <v>193</v>
      </c>
      <c r="BB5" s="80" t="s">
        <v>208</v>
      </c>
      <c r="BC5" s="80">
        <v>3</v>
      </c>
      <c r="BD5" s="80" t="s">
        <v>53</v>
      </c>
      <c r="BE5" s="79" t="s">
        <v>214</v>
      </c>
      <c r="BF5" s="79" t="s">
        <v>210</v>
      </c>
      <c r="BG5" s="79" t="s">
        <v>195</v>
      </c>
      <c r="BH5" s="79"/>
      <c r="BI5" s="79"/>
      <c r="BJ5" s="79"/>
      <c r="BK5" s="1">
        <v>0.03</v>
      </c>
      <c r="BL5" s="2">
        <v>0.03</v>
      </c>
      <c r="BM5" s="1">
        <v>0.03</v>
      </c>
    </row>
    <row r="6" spans="1:65" ht="39" hidden="1" thickBot="1" x14ac:dyDescent="0.3">
      <c r="A6" s="80" t="s">
        <v>193</v>
      </c>
      <c r="B6" s="80">
        <v>5</v>
      </c>
      <c r="C6" s="80" t="s">
        <v>72</v>
      </c>
      <c r="D6" s="84" t="s">
        <v>215</v>
      </c>
      <c r="E6" s="79" t="s">
        <v>195</v>
      </c>
      <c r="F6" s="79"/>
      <c r="G6" s="79"/>
      <c r="H6" s="79"/>
      <c r="I6" s="1" cm="1">
        <f t="array" ref="I6">+_xlfn.IFS($U$2=1,BK7,$U$2=2,BL7,$U$2=3,+BM7)</f>
        <v>0.03</v>
      </c>
      <c r="J6">
        <v>0.7</v>
      </c>
      <c r="K6" s="13" cm="1">
        <f t="array" ref="K6">+IF(E6="Cuantitativo",_xlfn.IFS(J6&lt;$U$30,0,J6&lt;$U$29,0.35,J6&lt;$U$28,0.7,J6&gt;=$U$28,1),J6)</f>
        <v>0.7</v>
      </c>
      <c r="L6" s="12">
        <f t="shared" si="0"/>
        <v>2.0999999999999998E-2</v>
      </c>
      <c r="O6" s="11"/>
      <c r="T6" s="86" t="s">
        <v>216</v>
      </c>
      <c r="U6" s="76">
        <v>1</v>
      </c>
      <c r="V6" s="76">
        <f t="shared" ca="1" si="1"/>
        <v>0.66590909090909112</v>
      </c>
      <c r="W6" s="76">
        <f ca="1">+SUMIF($A$2:B$44,$T6,$I$2:$I$44)</f>
        <v>0.21999999999999997</v>
      </c>
      <c r="X6" s="76">
        <f>+SUMIF(A4:A46,T6,L4:L46)</f>
        <v>0.14650000000000002</v>
      </c>
      <c r="Y6" s="75" t="str" cm="1">
        <f t="array" aca="1" ref="Y6" ca="1">+_xlfn.IFS(X6&lt;AG$30,T$31,X6&lt;AG$29,T$30,X6&lt;AG$28,T$29,X6=AG$27,T$28)</f>
        <v>Poco Satisfactorio</v>
      </c>
      <c r="BA6" s="80" t="s">
        <v>193</v>
      </c>
      <c r="BB6" s="80" t="s">
        <v>208</v>
      </c>
      <c r="BC6" s="80">
        <v>4</v>
      </c>
      <c r="BD6" s="80" t="s">
        <v>61</v>
      </c>
      <c r="BE6" s="79" t="s">
        <v>217</v>
      </c>
      <c r="BF6" s="79" t="s">
        <v>212</v>
      </c>
      <c r="BG6" s="79" t="s">
        <v>195</v>
      </c>
      <c r="BH6" s="79"/>
      <c r="BI6" s="79"/>
      <c r="BJ6" s="79"/>
      <c r="BK6" s="1">
        <v>0.03</v>
      </c>
      <c r="BL6" s="2">
        <v>0.03</v>
      </c>
      <c r="BM6" s="1">
        <v>0.03</v>
      </c>
    </row>
    <row r="7" spans="1:65" ht="39" hidden="1" thickBot="1" x14ac:dyDescent="0.3">
      <c r="A7" s="80" t="s">
        <v>193</v>
      </c>
      <c r="B7" s="80">
        <v>6</v>
      </c>
      <c r="C7" s="80" t="s">
        <v>79</v>
      </c>
      <c r="D7" s="84" t="s">
        <v>218</v>
      </c>
      <c r="E7" s="79" t="s">
        <v>195</v>
      </c>
      <c r="F7" s="79"/>
      <c r="G7" s="79"/>
      <c r="H7" s="79"/>
      <c r="I7" s="1" cm="1">
        <f t="array" ref="I7">+_xlfn.IFS($U$2=1,BK8,$U$2=2,BL8,$U$2=3,+BM8)</f>
        <v>0.03</v>
      </c>
      <c r="J7">
        <v>1</v>
      </c>
      <c r="K7" s="13" cm="1">
        <f t="array" ref="K7">+IF(E7="Cuantitativo",_xlfn.IFS(J7&lt;$U$30,0,J7&lt;$U$29,0.35,J7&lt;$U$28,0.7,J7&gt;=$U$28,1),J7)</f>
        <v>1</v>
      </c>
      <c r="L7" s="12">
        <f t="shared" si="0"/>
        <v>0.03</v>
      </c>
      <c r="O7" s="11"/>
      <c r="T7" s="85" t="s">
        <v>219</v>
      </c>
      <c r="U7" s="76">
        <v>1</v>
      </c>
      <c r="V7" s="76">
        <f t="shared" ca="1" si="1"/>
        <v>0.80599999999999961</v>
      </c>
      <c r="W7" s="76">
        <f ca="1">+SUMIF($A$2:B$44,$T7,$I$2:$I$44)</f>
        <v>0.25000000000000006</v>
      </c>
      <c r="X7" s="76">
        <f>+SUMIF(A5:A47,T7,L5:L47)</f>
        <v>0.20149999999999996</v>
      </c>
      <c r="Y7" s="75" t="str" cm="1">
        <f t="array" aca="1" ref="Y7" ca="1">+_xlfn.IFS(X7&lt;AH$30,T$31,X7&lt;AH$29,T$30,X7&lt;AH$28,T$29,X7=AH$27,T$28)</f>
        <v>Cuasi-satisfactorio</v>
      </c>
      <c r="BA7" s="80" t="s">
        <v>193</v>
      </c>
      <c r="BB7" s="80" t="s">
        <v>220</v>
      </c>
      <c r="BC7" s="80">
        <v>5</v>
      </c>
      <c r="BD7" s="80" t="s">
        <v>72</v>
      </c>
      <c r="BE7" s="79" t="s">
        <v>221</v>
      </c>
      <c r="BF7" s="79" t="s">
        <v>215</v>
      </c>
      <c r="BG7" s="79" t="s">
        <v>195</v>
      </c>
      <c r="BH7" s="79"/>
      <c r="BI7" s="79"/>
      <c r="BJ7" s="79"/>
      <c r="BK7" s="1">
        <v>0.03</v>
      </c>
      <c r="BL7" s="2">
        <v>0.03</v>
      </c>
      <c r="BM7" s="1">
        <v>0.03</v>
      </c>
    </row>
    <row r="8" spans="1:65" ht="39" hidden="1" thickBot="1" x14ac:dyDescent="0.3">
      <c r="A8" s="80" t="s">
        <v>193</v>
      </c>
      <c r="B8" s="80">
        <v>7</v>
      </c>
      <c r="C8" s="80" t="s">
        <v>94</v>
      </c>
      <c r="D8" s="84" t="s">
        <v>222</v>
      </c>
      <c r="E8" s="79" t="s">
        <v>195</v>
      </c>
      <c r="F8" s="79"/>
      <c r="G8" s="79"/>
      <c r="H8" s="79"/>
      <c r="I8" s="1" cm="1">
        <f t="array" ref="I8">+_xlfn.IFS($U$2=1,BK9,$U$2=2,BL9,$U$2=3,+BM9)</f>
        <v>0.03</v>
      </c>
      <c r="J8">
        <v>1</v>
      </c>
      <c r="K8" s="13" cm="1">
        <f t="array" ref="K8">+IF(E8="Cuantitativo",_xlfn.IFS(J8&lt;$U$30,0,J8&lt;$U$29,0.35,J8&lt;$U$28,0.7,J8&gt;=$U$28,1),J8)</f>
        <v>1</v>
      </c>
      <c r="L8" s="12">
        <f t="shared" si="0"/>
        <v>0.03</v>
      </c>
      <c r="O8" s="11"/>
      <c r="T8" s="83" t="s">
        <v>223</v>
      </c>
      <c r="U8" s="76">
        <v>1</v>
      </c>
      <c r="V8" s="76">
        <f t="shared" ca="1" si="1"/>
        <v>0.59375</v>
      </c>
      <c r="W8" s="76">
        <f ca="1">+SUMIF($A$2:B$44,$T8,$I$2:$I$44)</f>
        <v>0.12</v>
      </c>
      <c r="X8" s="76">
        <f>+SUMIF(A6:A48,T8,L6:L48)</f>
        <v>7.1249999999999994E-2</v>
      </c>
      <c r="Y8" s="75" t="str" cm="1">
        <f t="array" aca="1" ref="Y8" ca="1">+_xlfn.IFS(X8&lt;AI$30,T$31,X8&lt;AI$29,T$30,X8&lt;AI$28,T$29,X8=AI$27,T$28)</f>
        <v>Poco Satisfactorio</v>
      </c>
      <c r="BA8" s="80" t="s">
        <v>193</v>
      </c>
      <c r="BB8" s="80" t="s">
        <v>220</v>
      </c>
      <c r="BC8" s="80">
        <v>6</v>
      </c>
      <c r="BD8" s="80" t="s">
        <v>79</v>
      </c>
      <c r="BE8" s="79" t="s">
        <v>224</v>
      </c>
      <c r="BF8" s="79" t="s">
        <v>218</v>
      </c>
      <c r="BG8" s="79" t="s">
        <v>195</v>
      </c>
      <c r="BH8" s="79"/>
      <c r="BI8" s="79"/>
      <c r="BJ8" s="79"/>
      <c r="BK8" s="1">
        <v>0.03</v>
      </c>
      <c r="BL8" s="2">
        <v>0.03</v>
      </c>
      <c r="BM8" s="1">
        <v>0.03</v>
      </c>
    </row>
    <row r="9" spans="1:65" ht="26.25" thickBot="1" x14ac:dyDescent="0.3">
      <c r="A9" s="78" t="s">
        <v>213</v>
      </c>
      <c r="B9" s="78">
        <v>8</v>
      </c>
      <c r="C9" s="82" t="s">
        <v>225</v>
      </c>
      <c r="D9" s="68" t="s">
        <v>226</v>
      </c>
      <c r="E9" s="68" t="s">
        <v>227</v>
      </c>
      <c r="F9" s="68" t="s">
        <v>228</v>
      </c>
      <c r="G9" s="68" t="s">
        <v>229</v>
      </c>
      <c r="H9" s="68">
        <v>1</v>
      </c>
      <c r="I9" s="14" cm="1">
        <f t="array" ref="I9">+_xlfn.IFS($U$2=1,BK10,$U$2=2,BL10,$U$2=3,+BM10)</f>
        <v>0.03</v>
      </c>
      <c r="J9">
        <v>0.73</v>
      </c>
      <c r="K9" s="13" cm="1">
        <f t="array" ref="K9">+IF(E9="Cuantitativo",_xlfn.IFS(J9&lt;$U$30,0,J9&lt;$U$29,0.35,J9&lt;$U$28,0.7,J9&gt;=$U$28,1),J9)</f>
        <v>0.7</v>
      </c>
      <c r="L9" s="12">
        <f t="shared" si="0"/>
        <v>2.0999999999999998E-2</v>
      </c>
      <c r="O9" s="11"/>
      <c r="T9" s="81" t="s">
        <v>230</v>
      </c>
      <c r="U9" s="76">
        <v>1</v>
      </c>
      <c r="V9" s="76">
        <f t="shared" ca="1" si="1"/>
        <v>0.87999999999999989</v>
      </c>
      <c r="W9" s="76">
        <f ca="1">+SUMIF($A$2:B$44,$T9,$I$2:$I$44)</f>
        <v>0.1</v>
      </c>
      <c r="X9" s="76">
        <f>+SUMIF(A7:A49,T9,L7:L49)</f>
        <v>8.7999999999999995E-2</v>
      </c>
      <c r="Y9" s="75" t="str" cm="1">
        <f t="array" aca="1" ref="Y9" ca="1">+_xlfn.IFS(X9&lt;AJ$30,T$31,X9&lt;AJ$29,T$30,X9&lt;AJ$28,T$29,X9=AJ$27,T$28)</f>
        <v>Cuasi-satisfactorio</v>
      </c>
      <c r="AV9" t="s">
        <v>231</v>
      </c>
      <c r="AW9" t="s">
        <v>232</v>
      </c>
      <c r="AX9" t="s">
        <v>233</v>
      </c>
      <c r="BA9" s="80" t="s">
        <v>193</v>
      </c>
      <c r="BB9" s="80" t="s">
        <v>220</v>
      </c>
      <c r="BC9" s="80">
        <v>7</v>
      </c>
      <c r="BD9" s="80" t="s">
        <v>94</v>
      </c>
      <c r="BE9" s="79" t="s">
        <v>234</v>
      </c>
      <c r="BF9" s="79" t="s">
        <v>222</v>
      </c>
      <c r="BG9" s="79" t="s">
        <v>195</v>
      </c>
      <c r="BH9" s="79"/>
      <c r="BI9" s="79"/>
      <c r="BJ9" s="79"/>
      <c r="BK9" s="1">
        <v>0.03</v>
      </c>
      <c r="BL9" s="2">
        <v>0.03</v>
      </c>
      <c r="BM9" s="1">
        <v>0.03</v>
      </c>
    </row>
    <row r="10" spans="1:65" ht="51.75" hidden="1" thickBot="1" x14ac:dyDescent="0.3">
      <c r="A10" s="78" t="s">
        <v>213</v>
      </c>
      <c r="B10" s="78">
        <v>9</v>
      </c>
      <c r="C10" s="78" t="s">
        <v>103</v>
      </c>
      <c r="D10" s="68" t="s">
        <v>235</v>
      </c>
      <c r="E10" s="68" t="s">
        <v>195</v>
      </c>
      <c r="F10" s="73"/>
      <c r="G10" s="73"/>
      <c r="H10" s="73"/>
      <c r="I10" s="1" cm="1">
        <f t="array" ref="I10">+_xlfn.IFS($U$2=1,BK11,$U$2=2,BL11,$U$2=3,+BM11)</f>
        <v>2.5000000000000001E-2</v>
      </c>
      <c r="J10">
        <v>1</v>
      </c>
      <c r="K10" s="13" cm="1">
        <f t="array" ref="K10">+IF(E10="Cuantitativo",_xlfn.IFS(J10&lt;$U$30,0,J10&lt;$U$29,0.35,J10&lt;$U$28,0.7,J10&gt;=$U$28,1),J10)</f>
        <v>1</v>
      </c>
      <c r="L10" s="12">
        <f t="shared" si="0"/>
        <v>2.5000000000000001E-2</v>
      </c>
      <c r="O10" s="11"/>
      <c r="U10" s="77"/>
      <c r="V10" s="77"/>
      <c r="W10" s="76">
        <f ca="1">SUM(W4:W9)</f>
        <v>1</v>
      </c>
      <c r="X10" s="76">
        <f>SUM(X4:X9)</f>
        <v>0.78724999999999989</v>
      </c>
      <c r="Y10" s="75" t="str" cm="1">
        <f t="array" ref="Y10">+_xlfn.IFS(X10&lt;AK$30,T$31,X10&lt;AK$29,T$30,X10&lt;AK$28,T$29,X10=AK$27,T$28)</f>
        <v>Cuasi-satisfactorio</v>
      </c>
      <c r="AV10" s="72">
        <v>1</v>
      </c>
      <c r="AW10" s="72" t="s">
        <v>10</v>
      </c>
      <c r="AX10" s="74">
        <v>8</v>
      </c>
      <c r="BA10" s="71" t="s">
        <v>213</v>
      </c>
      <c r="BB10" s="71" t="s">
        <v>236</v>
      </c>
      <c r="BC10" s="71">
        <v>8</v>
      </c>
      <c r="BD10" s="71" t="s">
        <v>225</v>
      </c>
      <c r="BE10" s="64" t="s">
        <v>237</v>
      </c>
      <c r="BF10" s="64" t="s">
        <v>226</v>
      </c>
      <c r="BG10" s="64" t="s">
        <v>227</v>
      </c>
      <c r="BH10" s="64" t="s">
        <v>228</v>
      </c>
      <c r="BI10" s="64" t="s">
        <v>229</v>
      </c>
      <c r="BJ10" s="64">
        <v>1</v>
      </c>
      <c r="BK10" s="1">
        <v>0.03</v>
      </c>
      <c r="BL10" s="2">
        <v>0.03</v>
      </c>
      <c r="BM10" s="1">
        <v>0.03</v>
      </c>
    </row>
    <row r="11" spans="1:65" ht="39" hidden="1" thickBot="1" x14ac:dyDescent="0.3">
      <c r="A11" s="70" t="s">
        <v>213</v>
      </c>
      <c r="B11" s="70">
        <v>10</v>
      </c>
      <c r="C11" s="70" t="s">
        <v>114</v>
      </c>
      <c r="D11" s="68" t="s">
        <v>238</v>
      </c>
      <c r="E11" s="68" t="s">
        <v>195</v>
      </c>
      <c r="F11" s="73"/>
      <c r="G11" s="73"/>
      <c r="H11" s="73"/>
      <c r="I11" s="1" cm="1">
        <f t="array" ref="I11">+_xlfn.IFS($U$2=1,BK12,$U$2=2,BL12,$U$2=3,+BM12)</f>
        <v>0.02</v>
      </c>
      <c r="J11">
        <v>0.7</v>
      </c>
      <c r="K11" s="13" cm="1">
        <f t="array" ref="K11">+IF(E11="Cuantitativo",_xlfn.IFS(J11&lt;$U$30,0,J11&lt;$U$29,0.35,J11&lt;$U$28,0.7,J11&gt;=$U$28,1),J11)</f>
        <v>0.7</v>
      </c>
      <c r="L11" s="12">
        <f t="shared" si="0"/>
        <v>1.3999999999999999E-2</v>
      </c>
      <c r="O11" s="11"/>
      <c r="AV11" s="72">
        <v>2</v>
      </c>
      <c r="AW11" s="72" t="s">
        <v>201</v>
      </c>
      <c r="AX11" s="72">
        <v>9</v>
      </c>
      <c r="BA11" s="71" t="s">
        <v>213</v>
      </c>
      <c r="BB11" s="71" t="s">
        <v>236</v>
      </c>
      <c r="BC11" s="71">
        <v>9</v>
      </c>
      <c r="BD11" s="71" t="s">
        <v>103</v>
      </c>
      <c r="BE11" s="64" t="s">
        <v>239</v>
      </c>
      <c r="BF11" s="64" t="s">
        <v>235</v>
      </c>
      <c r="BG11" s="64" t="s">
        <v>195</v>
      </c>
      <c r="BH11" s="64"/>
      <c r="BI11" s="64"/>
      <c r="BJ11" s="64"/>
      <c r="BK11" s="1">
        <v>2.5000000000000001E-2</v>
      </c>
      <c r="BL11" s="2">
        <v>2.5000000000000001E-2</v>
      </c>
      <c r="BM11" s="1">
        <v>2.5000000000000001E-2</v>
      </c>
    </row>
    <row r="12" spans="1:65" ht="51.75" thickBot="1" x14ac:dyDescent="0.3">
      <c r="A12" s="70" t="s">
        <v>213</v>
      </c>
      <c r="B12" s="70">
        <v>11</v>
      </c>
      <c r="C12" s="69" t="s">
        <v>240</v>
      </c>
      <c r="D12" s="68" t="s">
        <v>241</v>
      </c>
      <c r="E12" s="68" t="s">
        <v>227</v>
      </c>
      <c r="F12" s="68" t="s">
        <v>242</v>
      </c>
      <c r="G12" s="68" t="s">
        <v>243</v>
      </c>
      <c r="H12" s="68">
        <v>500</v>
      </c>
      <c r="I12" s="14" cm="1">
        <f t="array" ref="I12">+_xlfn.IFS($U$2=1,BK13,$U$2=2,BL13,$U$2=3,+BM13)</f>
        <v>2.5000000000000001E-2</v>
      </c>
      <c r="J12">
        <v>3643.15</v>
      </c>
      <c r="K12" s="13" cm="1">
        <f t="array" ref="K12">+IF(E12="Cuantitativo",_xlfn.IFS(J12&lt;$V$30,0,J12&lt;$V$29,0.35,J12&lt;$V$28,0.7,J12&gt;=$V$28,1),J12)</f>
        <v>1</v>
      </c>
      <c r="L12" s="12">
        <f t="shared" si="0"/>
        <v>2.5000000000000001E-2</v>
      </c>
      <c r="O12" s="11"/>
      <c r="AV12" s="67">
        <v>3</v>
      </c>
      <c r="AW12" s="67" t="s">
        <v>202</v>
      </c>
      <c r="AX12" s="67">
        <v>10</v>
      </c>
      <c r="BA12" s="66" t="s">
        <v>213</v>
      </c>
      <c r="BB12" s="66" t="s">
        <v>236</v>
      </c>
      <c r="BC12" s="66">
        <v>10</v>
      </c>
      <c r="BD12" s="66" t="s">
        <v>114</v>
      </c>
      <c r="BE12" s="65" t="s">
        <v>244</v>
      </c>
      <c r="BF12" s="64" t="s">
        <v>238</v>
      </c>
      <c r="BG12" s="64" t="s">
        <v>195</v>
      </c>
      <c r="BH12" s="64"/>
      <c r="BI12" s="64"/>
      <c r="BJ12" s="64"/>
      <c r="BK12" s="1">
        <v>0.02</v>
      </c>
      <c r="BL12" s="2">
        <v>0.02</v>
      </c>
      <c r="BM12" s="1">
        <v>0.02</v>
      </c>
    </row>
    <row r="13" spans="1:65" ht="26.25" hidden="1" thickBot="1" x14ac:dyDescent="0.3">
      <c r="A13" s="49" t="s">
        <v>216</v>
      </c>
      <c r="B13" s="49">
        <v>12</v>
      </c>
      <c r="C13" s="52" t="s">
        <v>122</v>
      </c>
      <c r="D13" s="51" t="s">
        <v>245</v>
      </c>
      <c r="E13" s="51" t="s">
        <v>195</v>
      </c>
      <c r="F13" s="47"/>
      <c r="G13" s="47"/>
      <c r="H13" s="47"/>
      <c r="I13" s="1" cm="1">
        <f t="array" ref="I13">+_xlfn.IFS($U$2=1,BK14,$U$2=2,BL14,$U$2=3,+BM14)</f>
        <v>0.02</v>
      </c>
      <c r="J13">
        <v>1</v>
      </c>
      <c r="K13" s="13" cm="1">
        <f t="array" ref="K13">+IF(E13="Cuantitativo",_xlfn.IFS(J13&lt;$U$30,0,J13&lt;$U$29,0.35,J13&lt;$U$28,0.7,J13&gt;=$U$28,1),J13)</f>
        <v>1</v>
      </c>
      <c r="L13" s="12">
        <f t="shared" si="0"/>
        <v>0.02</v>
      </c>
      <c r="O13" s="11"/>
      <c r="BA13" s="66" t="s">
        <v>213</v>
      </c>
      <c r="BB13" s="66" t="s">
        <v>236</v>
      </c>
      <c r="BC13" s="66">
        <v>11</v>
      </c>
      <c r="BD13" s="66" t="s">
        <v>240</v>
      </c>
      <c r="BE13" s="65" t="s">
        <v>246</v>
      </c>
      <c r="BF13" s="64" t="s">
        <v>241</v>
      </c>
      <c r="BG13" s="64" t="s">
        <v>227</v>
      </c>
      <c r="BH13" s="64" t="s">
        <v>242</v>
      </c>
      <c r="BI13" s="64" t="s">
        <v>243</v>
      </c>
      <c r="BJ13" s="64">
        <v>500</v>
      </c>
      <c r="BK13" s="1">
        <v>2.5000000000000001E-2</v>
      </c>
      <c r="BL13" s="2">
        <v>2.5000000000000001E-2</v>
      </c>
      <c r="BM13" s="1">
        <v>2.5000000000000001E-2</v>
      </c>
    </row>
    <row r="14" spans="1:65" ht="39" thickBot="1" x14ac:dyDescent="0.3">
      <c r="A14" s="61" t="s">
        <v>216</v>
      </c>
      <c r="B14" s="61">
        <v>13</v>
      </c>
      <c r="C14" s="63" t="s">
        <v>247</v>
      </c>
      <c r="D14" s="62" t="s">
        <v>248</v>
      </c>
      <c r="E14" s="62" t="s">
        <v>227</v>
      </c>
      <c r="F14" s="56" t="s">
        <v>249</v>
      </c>
      <c r="G14" s="56" t="s">
        <v>250</v>
      </c>
      <c r="H14" s="59">
        <v>0.5</v>
      </c>
      <c r="I14" s="17" cm="1">
        <f t="array" ref="I14">+_xlfn.IFS($U$2=1,BK15,$U$2=2,BL15,$U$2=3,+BM15)</f>
        <v>0.02</v>
      </c>
      <c r="J14">
        <v>0.91459999999999997</v>
      </c>
      <c r="K14" s="13" cm="1">
        <f t="array" ref="K14">+IF(E14="Cuantitativo",_xlfn.IFS(J14&lt;$W$30,0,J14&lt;$W$29,0.35,J14&lt;$W$28,0.7,J14&gt;=$W$28,1),J14)</f>
        <v>1</v>
      </c>
      <c r="L14" s="12">
        <f t="shared" si="0"/>
        <v>0.02</v>
      </c>
      <c r="O14" s="11"/>
      <c r="BA14" s="49" t="s">
        <v>216</v>
      </c>
      <c r="BB14" s="49" t="s">
        <v>251</v>
      </c>
      <c r="BC14" s="49">
        <v>12</v>
      </c>
      <c r="BD14" s="49" t="s">
        <v>122</v>
      </c>
      <c r="BE14" s="48" t="s">
        <v>252</v>
      </c>
      <c r="BF14" s="47" t="s">
        <v>245</v>
      </c>
      <c r="BG14" s="47" t="s">
        <v>195</v>
      </c>
      <c r="BH14" s="47"/>
      <c r="BI14" s="47"/>
      <c r="BJ14" s="47"/>
      <c r="BK14" s="1">
        <v>0.02</v>
      </c>
      <c r="BL14" s="50">
        <v>2.1999999999999999E-2</v>
      </c>
      <c r="BM14" s="45">
        <v>2.3E-2</v>
      </c>
    </row>
    <row r="15" spans="1:65" ht="64.5" thickBot="1" x14ac:dyDescent="0.3">
      <c r="A15" s="49" t="s">
        <v>216</v>
      </c>
      <c r="B15" s="49">
        <v>14</v>
      </c>
      <c r="C15" s="52" t="s">
        <v>253</v>
      </c>
      <c r="D15" s="51" t="s">
        <v>254</v>
      </c>
      <c r="E15" s="51" t="s">
        <v>227</v>
      </c>
      <c r="F15" s="56" t="s">
        <v>255</v>
      </c>
      <c r="G15" s="56" t="s">
        <v>250</v>
      </c>
      <c r="H15" s="54">
        <v>0.5</v>
      </c>
      <c r="I15" s="14" cm="1">
        <f t="array" ref="I15">+_xlfn.IFS($U$2=1,BK16,$U$2=2,BL16,$U$2=3,+BM16)</f>
        <v>0.02</v>
      </c>
      <c r="J15">
        <v>0.87629999999999997</v>
      </c>
      <c r="K15" s="13" cm="1">
        <f t="array" ref="K15">+IF(E15="Cuantitativo",_xlfn.IFS(J15&lt;$W$30,0,J15&lt;$W$29,0.35,J15&lt;$W$28,0.7,J15&gt;=$W$28,1),J15)</f>
        <v>1</v>
      </c>
      <c r="L15" s="12">
        <f t="shared" si="0"/>
        <v>0.02</v>
      </c>
      <c r="O15" s="11"/>
      <c r="BA15" s="61" t="s">
        <v>216</v>
      </c>
      <c r="BB15" s="61" t="s">
        <v>251</v>
      </c>
      <c r="BC15" s="61">
        <v>13</v>
      </c>
      <c r="BD15" s="61" t="s">
        <v>247</v>
      </c>
      <c r="BE15" s="60" t="s">
        <v>256</v>
      </c>
      <c r="BF15" s="56" t="s">
        <v>248</v>
      </c>
      <c r="BG15" s="56" t="s">
        <v>227</v>
      </c>
      <c r="BH15" s="56" t="s">
        <v>249</v>
      </c>
      <c r="BI15" s="56" t="s">
        <v>250</v>
      </c>
      <c r="BJ15" s="59">
        <v>0.5</v>
      </c>
      <c r="BK15" s="17">
        <v>0.02</v>
      </c>
      <c r="BL15" s="58">
        <v>2.1999999999999999E-2</v>
      </c>
      <c r="BM15" s="57">
        <v>2.3E-2</v>
      </c>
    </row>
    <row r="16" spans="1:65" ht="102.75" thickBot="1" x14ac:dyDescent="0.3">
      <c r="A16" s="49" t="s">
        <v>216</v>
      </c>
      <c r="B16" s="49">
        <v>15</v>
      </c>
      <c r="C16" s="52" t="s">
        <v>257</v>
      </c>
      <c r="D16" s="51" t="s">
        <v>258</v>
      </c>
      <c r="E16" s="51" t="s">
        <v>227</v>
      </c>
      <c r="F16" s="47" t="s">
        <v>259</v>
      </c>
      <c r="G16" s="47" t="s">
        <v>260</v>
      </c>
      <c r="H16" s="54">
        <v>1</v>
      </c>
      <c r="I16" s="14" cm="1">
        <f t="array" ref="I16">+_xlfn.IFS($U$2=1,BK17,$U$2=2,BL17,$U$2=3,+BM17)</f>
        <v>0.03</v>
      </c>
      <c r="J16">
        <v>0.66120000000000001</v>
      </c>
      <c r="K16" s="13" cm="1">
        <f t="array" ref="K16">+IF(E16="Cuantitativo",_xlfn.IFS(J16&lt;$U$30,0,J16&lt;$U$29,0.35,J16&lt;$U$28,0.7,J16&gt;=$U$28,1),J16)</f>
        <v>0.35</v>
      </c>
      <c r="L16" s="12">
        <f t="shared" si="0"/>
        <v>1.0499999999999999E-2</v>
      </c>
      <c r="O16" s="11"/>
      <c r="BA16" s="49" t="s">
        <v>216</v>
      </c>
      <c r="BB16" s="49" t="s">
        <v>251</v>
      </c>
      <c r="BC16" s="49">
        <v>14</v>
      </c>
      <c r="BD16" s="49" t="s">
        <v>253</v>
      </c>
      <c r="BE16" s="48" t="s">
        <v>261</v>
      </c>
      <c r="BF16" s="47" t="s">
        <v>254</v>
      </c>
      <c r="BG16" s="47" t="s">
        <v>227</v>
      </c>
      <c r="BH16" s="56" t="s">
        <v>255</v>
      </c>
      <c r="BI16" s="56" t="s">
        <v>250</v>
      </c>
      <c r="BJ16" s="54">
        <v>0.5</v>
      </c>
      <c r="BK16" s="1">
        <v>0.02</v>
      </c>
      <c r="BL16" s="50">
        <v>2.1999999999999999E-2</v>
      </c>
      <c r="BM16" s="45">
        <v>2.5999999999999999E-2</v>
      </c>
    </row>
    <row r="17" spans="1:65" ht="115.5" thickBot="1" x14ac:dyDescent="0.3">
      <c r="A17" s="49" t="s">
        <v>216</v>
      </c>
      <c r="B17" s="49">
        <v>16</v>
      </c>
      <c r="C17" s="52" t="s">
        <v>262</v>
      </c>
      <c r="D17" s="51" t="s">
        <v>263</v>
      </c>
      <c r="E17" s="51" t="s">
        <v>227</v>
      </c>
      <c r="F17" s="47" t="s">
        <v>264</v>
      </c>
      <c r="G17" s="47" t="s">
        <v>265</v>
      </c>
      <c r="H17" s="54">
        <v>0.3</v>
      </c>
      <c r="I17" s="14" cm="1">
        <f t="array" ref="I17">+_xlfn.IFS($U$2=1,BK18,$U$2=2,BL18,$U$2=3,+BM18)</f>
        <v>0.02</v>
      </c>
      <c r="J17">
        <v>0</v>
      </c>
      <c r="K17" s="13" cm="1">
        <f t="array" ref="K17">+IF(E17="Cuantitativo",_xlfn.IFS(J17&lt;$X$30,0,J17&lt;$X$29,0.35,J17&lt;$X$28,0.7,J17&gt;=$X$28,1),J17)</f>
        <v>0</v>
      </c>
      <c r="L17" s="12">
        <f t="shared" si="0"/>
        <v>0</v>
      </c>
      <c r="O17" s="11"/>
      <c r="BA17" s="49" t="s">
        <v>216</v>
      </c>
      <c r="BB17" s="49" t="s">
        <v>251</v>
      </c>
      <c r="BC17" s="49">
        <v>15</v>
      </c>
      <c r="BD17" s="49" t="s">
        <v>257</v>
      </c>
      <c r="BE17" s="48" t="s">
        <v>266</v>
      </c>
      <c r="BF17" s="47" t="s">
        <v>258</v>
      </c>
      <c r="BG17" s="47" t="s">
        <v>227</v>
      </c>
      <c r="BH17" s="47" t="s">
        <v>259</v>
      </c>
      <c r="BI17" s="47" t="s">
        <v>260</v>
      </c>
      <c r="BJ17" s="54">
        <v>1</v>
      </c>
      <c r="BK17" s="1">
        <v>0.03</v>
      </c>
      <c r="BL17" s="50">
        <v>3.2000000000000001E-2</v>
      </c>
      <c r="BM17" s="55"/>
    </row>
    <row r="18" spans="1:65" ht="64.5" thickBot="1" x14ac:dyDescent="0.3">
      <c r="A18" s="49" t="s">
        <v>216</v>
      </c>
      <c r="B18" s="49">
        <v>17</v>
      </c>
      <c r="C18" s="52" t="s">
        <v>267</v>
      </c>
      <c r="D18" s="51" t="s">
        <v>268</v>
      </c>
      <c r="E18" s="51" t="s">
        <v>227</v>
      </c>
      <c r="F18" s="47" t="s">
        <v>269</v>
      </c>
      <c r="G18" s="47" t="s">
        <v>270</v>
      </c>
      <c r="H18" s="47">
        <v>18</v>
      </c>
      <c r="I18" s="14" cm="1">
        <f t="array" ref="I18">+_xlfn.IFS($U$2=1,BK19,$U$2=2,BL19,$U$2=3,+BM19)</f>
        <v>0.02</v>
      </c>
      <c r="J18">
        <v>7.94</v>
      </c>
      <c r="K18" s="13" cm="1">
        <f t="array" ref="K18">+IF(E18="Cuantitativo",_xlfn.IFS(J18&lt;$Y$30,0,J18&lt;$Y$29,0.35,J18&lt;$Y$28,0.7,J18&gt;=$Y$28,1),J18)</f>
        <v>0.35</v>
      </c>
      <c r="L18" s="12">
        <f t="shared" si="0"/>
        <v>6.9999999999999993E-3</v>
      </c>
      <c r="O18" s="11"/>
      <c r="BA18" s="49" t="s">
        <v>216</v>
      </c>
      <c r="BB18" s="49" t="s">
        <v>271</v>
      </c>
      <c r="BC18" s="49">
        <v>16</v>
      </c>
      <c r="BD18" s="49" t="s">
        <v>262</v>
      </c>
      <c r="BE18" s="48" t="s">
        <v>272</v>
      </c>
      <c r="BF18" s="47" t="s">
        <v>263</v>
      </c>
      <c r="BG18" s="47" t="s">
        <v>227</v>
      </c>
      <c r="BH18" s="47" t="s">
        <v>264</v>
      </c>
      <c r="BI18" s="47" t="s">
        <v>265</v>
      </c>
      <c r="BJ18" s="54">
        <v>0.3</v>
      </c>
      <c r="BK18" s="1">
        <v>0.02</v>
      </c>
      <c r="BL18" s="50">
        <v>2.1999999999999999E-2</v>
      </c>
      <c r="BM18" s="45">
        <v>2.3E-2</v>
      </c>
    </row>
    <row r="19" spans="1:65" ht="64.5" hidden="1" thickBot="1" x14ac:dyDescent="0.3">
      <c r="A19" s="49" t="s">
        <v>216</v>
      </c>
      <c r="B19" s="49">
        <v>18</v>
      </c>
      <c r="C19" s="52" t="s">
        <v>273</v>
      </c>
      <c r="D19" s="51" t="s">
        <v>274</v>
      </c>
      <c r="E19" s="51" t="s">
        <v>195</v>
      </c>
      <c r="F19" s="47"/>
      <c r="G19" s="47"/>
      <c r="H19" s="47"/>
      <c r="I19" s="1" cm="1">
        <f t="array" ref="I19">+_xlfn.IFS($U$2=1,BK20,$U$2=2,BL20,$U$2=3,+BM20)</f>
        <v>0.02</v>
      </c>
      <c r="J19">
        <v>1</v>
      </c>
      <c r="K19" s="13" cm="1">
        <f t="array" ref="K19">+IF(E19="Cuantitativo",_xlfn.IFS(J19&lt;$Y$30,0,J19&lt;$Y$29,0.35,J19&lt;$Y$28,0.7,J19&gt;=$Y$28,1),J19)</f>
        <v>1</v>
      </c>
      <c r="L19" s="12">
        <f t="shared" si="0"/>
        <v>0.02</v>
      </c>
      <c r="O19" s="11"/>
      <c r="BA19" s="49" t="s">
        <v>216</v>
      </c>
      <c r="BB19" s="49" t="s">
        <v>271</v>
      </c>
      <c r="BC19" s="49">
        <v>17</v>
      </c>
      <c r="BD19" s="49" t="s">
        <v>267</v>
      </c>
      <c r="BE19" s="48" t="s">
        <v>275</v>
      </c>
      <c r="BF19" s="47" t="s">
        <v>268</v>
      </c>
      <c r="BG19" s="47" t="s">
        <v>227</v>
      </c>
      <c r="BH19" s="47" t="s">
        <v>269</v>
      </c>
      <c r="BI19" s="47" t="s">
        <v>270</v>
      </c>
      <c r="BJ19" s="47">
        <v>18</v>
      </c>
      <c r="BK19" s="1">
        <v>0.02</v>
      </c>
      <c r="BL19" s="50">
        <v>2.1999999999999999E-2</v>
      </c>
      <c r="BM19" s="45">
        <v>2.3E-2</v>
      </c>
    </row>
    <row r="20" spans="1:65" ht="39" hidden="1" thickBot="1" x14ac:dyDescent="0.3">
      <c r="A20" s="49" t="s">
        <v>216</v>
      </c>
      <c r="B20" s="49">
        <v>19</v>
      </c>
      <c r="C20" s="52" t="s">
        <v>276</v>
      </c>
      <c r="D20" s="53" t="s">
        <v>277</v>
      </c>
      <c r="E20" s="53" t="s">
        <v>195</v>
      </c>
      <c r="F20" s="48"/>
      <c r="G20" s="48"/>
      <c r="H20" s="48"/>
      <c r="I20" s="1" cm="1">
        <f t="array" ref="I20">+_xlfn.IFS($U$2=1,BK21,$U$2=2,BL21,$U$2=3,+BM21)</f>
        <v>0.03</v>
      </c>
      <c r="J20">
        <v>0.7</v>
      </c>
      <c r="K20" s="13" cm="1">
        <f t="array" ref="K20">+IF(E20="Cuantitativo",_xlfn.IFS(J20&lt;$Y$30,0,J20&lt;$Y$29,0.35,J20&lt;$Y$28,0.7,J20&gt;=$Y$28,1),J20)</f>
        <v>0.7</v>
      </c>
      <c r="L20" s="12">
        <f t="shared" si="0"/>
        <v>2.0999999999999998E-2</v>
      </c>
      <c r="O20" s="11"/>
      <c r="BA20" s="49" t="s">
        <v>216</v>
      </c>
      <c r="BB20" s="49" t="s">
        <v>271</v>
      </c>
      <c r="BC20" s="49">
        <v>18</v>
      </c>
      <c r="BD20" s="49" t="s">
        <v>273</v>
      </c>
      <c r="BE20" s="48" t="s">
        <v>278</v>
      </c>
      <c r="BF20" s="47" t="s">
        <v>274</v>
      </c>
      <c r="BG20" s="47" t="s">
        <v>195</v>
      </c>
      <c r="BH20" s="47"/>
      <c r="BI20" s="47"/>
      <c r="BJ20" s="47"/>
      <c r="BK20" s="1">
        <v>0.02</v>
      </c>
      <c r="BL20" s="50">
        <v>2.1999999999999999E-2</v>
      </c>
      <c r="BM20" s="45">
        <v>2.3E-2</v>
      </c>
    </row>
    <row r="21" spans="1:65" ht="51.75" thickBot="1" x14ac:dyDescent="0.3">
      <c r="A21" s="49" t="s">
        <v>216</v>
      </c>
      <c r="B21" s="49">
        <v>20</v>
      </c>
      <c r="C21" s="52" t="s">
        <v>279</v>
      </c>
      <c r="D21" s="51" t="s">
        <v>280</v>
      </c>
      <c r="E21" s="51" t="s">
        <v>227</v>
      </c>
      <c r="F21" s="47" t="s">
        <v>281</v>
      </c>
      <c r="G21" s="47" t="s">
        <v>282</v>
      </c>
      <c r="H21" s="47">
        <v>1100</v>
      </c>
      <c r="I21" s="14" cm="1">
        <f t="array" ref="I21">+_xlfn.IFS($U$2=1,BK22,$U$2=2,BL22,$U$2=3,+BM22)</f>
        <v>0.02</v>
      </c>
      <c r="J21">
        <v>970.78</v>
      </c>
      <c r="K21" s="13" cm="1">
        <f t="array" ref="K21">+IF(E21="Cuantitativo",_xlfn.IFS(J21&lt;$Z$30,0,J21&lt;$Z$29,0.35,J21&lt;$Z$28,0.7,J21&gt;=$Z$28,1),J21)</f>
        <v>0.7</v>
      </c>
      <c r="L21" s="12">
        <f t="shared" si="0"/>
        <v>1.3999999999999999E-2</v>
      </c>
      <c r="O21" s="11"/>
      <c r="BA21" s="49" t="s">
        <v>216</v>
      </c>
      <c r="BB21" s="49" t="s">
        <v>271</v>
      </c>
      <c r="BC21" s="49">
        <v>19</v>
      </c>
      <c r="BD21" s="49" t="s">
        <v>276</v>
      </c>
      <c r="BE21" s="48" t="s">
        <v>283</v>
      </c>
      <c r="BF21" s="48" t="s">
        <v>277</v>
      </c>
      <c r="BG21" s="48" t="s">
        <v>195</v>
      </c>
      <c r="BH21" s="48"/>
      <c r="BI21" s="48"/>
      <c r="BJ21" s="48"/>
      <c r="BK21" s="1">
        <v>0.03</v>
      </c>
      <c r="BL21" s="50">
        <v>3.2000000000000001E-2</v>
      </c>
      <c r="BM21" s="45">
        <v>3.3000000000000002E-2</v>
      </c>
    </row>
    <row r="22" spans="1:65" ht="51.75" thickBot="1" x14ac:dyDescent="0.3">
      <c r="A22" s="49" t="s">
        <v>216</v>
      </c>
      <c r="B22" s="49">
        <v>21</v>
      </c>
      <c r="C22" s="52" t="s">
        <v>284</v>
      </c>
      <c r="D22" s="51" t="s">
        <v>285</v>
      </c>
      <c r="E22" s="51" t="s">
        <v>227</v>
      </c>
      <c r="F22" s="47" t="s">
        <v>286</v>
      </c>
      <c r="G22" s="47" t="s">
        <v>287</v>
      </c>
      <c r="H22" s="47">
        <v>13</v>
      </c>
      <c r="I22" s="14" cm="1">
        <f t="array" ref="I22">+_xlfn.IFS($U$2=1,BK23,$U$2=2,BL23,$U$2=3,+BM23)</f>
        <v>0.02</v>
      </c>
      <c r="J22">
        <v>10.73</v>
      </c>
      <c r="K22" s="13" cm="1">
        <f t="array" ref="K22">+IF(E22="Cuantitativo",_xlfn.IFS(J22&lt;$AA$30,0,J22&lt;$AA$29,0.35,J22&lt;$AA$28,0.7,J22&gt;=$AA$28,1),J22)</f>
        <v>0.7</v>
      </c>
      <c r="L22" s="12">
        <f t="shared" si="0"/>
        <v>1.3999999999999999E-2</v>
      </c>
      <c r="O22" s="11"/>
      <c r="BA22" s="49" t="s">
        <v>216</v>
      </c>
      <c r="BB22" s="49" t="s">
        <v>288</v>
      </c>
      <c r="BC22" s="49">
        <v>20</v>
      </c>
      <c r="BD22" s="49" t="s">
        <v>279</v>
      </c>
      <c r="BE22" s="48" t="s">
        <v>289</v>
      </c>
      <c r="BF22" s="47" t="s">
        <v>280</v>
      </c>
      <c r="BG22" s="47" t="s">
        <v>227</v>
      </c>
      <c r="BH22" s="47" t="s">
        <v>281</v>
      </c>
      <c r="BI22" s="47" t="s">
        <v>282</v>
      </c>
      <c r="BJ22" s="47">
        <v>1100</v>
      </c>
      <c r="BK22" s="1">
        <v>0.02</v>
      </c>
      <c r="BL22" s="50">
        <v>2.4E-2</v>
      </c>
      <c r="BM22" s="45">
        <v>2.3E-2</v>
      </c>
    </row>
    <row r="23" spans="1:65" ht="39" thickBot="1" x14ac:dyDescent="0.3">
      <c r="A23" s="33" t="s">
        <v>219</v>
      </c>
      <c r="B23" s="33">
        <v>22</v>
      </c>
      <c r="C23" s="44" t="s">
        <v>290</v>
      </c>
      <c r="D23" s="43" t="s">
        <v>291</v>
      </c>
      <c r="E23" s="43" t="s">
        <v>227</v>
      </c>
      <c r="F23" s="31" t="s">
        <v>292</v>
      </c>
      <c r="G23" s="31" t="s">
        <v>260</v>
      </c>
      <c r="H23" s="42">
        <v>1</v>
      </c>
      <c r="I23" s="14" cm="1">
        <f t="array" ref="I23">+_xlfn.IFS($U$2=1,BK24,$U$2=2,BL24,$U$2=3,+BM24)</f>
        <v>1.4999999999999999E-2</v>
      </c>
      <c r="J23">
        <v>1</v>
      </c>
      <c r="K23" s="13" cm="1">
        <f t="array" ref="K23">+IF(E23="Cuantitativo",_xlfn.IFS(J23&lt;$U$30,0,J23&lt;$U$29,0.35,J23&lt;$U$28,0.7,J23&gt;=$U$28,1),J23)</f>
        <v>1</v>
      </c>
      <c r="L23" s="12">
        <f t="shared" si="0"/>
        <v>1.4999999999999999E-2</v>
      </c>
      <c r="O23" s="11"/>
      <c r="BA23" s="49" t="s">
        <v>216</v>
      </c>
      <c r="BB23" s="49" t="s">
        <v>288</v>
      </c>
      <c r="BC23" s="49">
        <v>21</v>
      </c>
      <c r="BD23" s="49" t="s">
        <v>284</v>
      </c>
      <c r="BE23" s="48" t="s">
        <v>293</v>
      </c>
      <c r="BF23" s="47" t="s">
        <v>285</v>
      </c>
      <c r="BG23" s="47" t="s">
        <v>227</v>
      </c>
      <c r="BH23" s="47" t="s">
        <v>286</v>
      </c>
      <c r="BI23" s="47" t="s">
        <v>287</v>
      </c>
      <c r="BJ23" s="47">
        <v>13</v>
      </c>
      <c r="BK23" s="1">
        <v>0.02</v>
      </c>
      <c r="BL23" s="46"/>
      <c r="BM23" s="45">
        <v>2.3E-2</v>
      </c>
    </row>
    <row r="24" spans="1:65" ht="51.75" thickBot="1" x14ac:dyDescent="0.3">
      <c r="A24" s="33" t="s">
        <v>219</v>
      </c>
      <c r="B24" s="33">
        <v>23</v>
      </c>
      <c r="C24" s="44" t="s">
        <v>294</v>
      </c>
      <c r="D24" s="43" t="s">
        <v>295</v>
      </c>
      <c r="E24" s="43" t="s">
        <v>227</v>
      </c>
      <c r="F24" s="31" t="s">
        <v>296</v>
      </c>
      <c r="G24" s="31" t="s">
        <v>260</v>
      </c>
      <c r="H24" s="42">
        <v>1</v>
      </c>
      <c r="I24" s="14" cm="1">
        <f t="array" ref="I24">+_xlfn.IFS($U$2=1,BK25,$U$2=2,BL25,$U$2=3,+BM25)</f>
        <v>1.4999999999999999E-2</v>
      </c>
      <c r="J24">
        <v>1</v>
      </c>
      <c r="K24" s="13" cm="1">
        <f t="array" ref="K24">+IF(E24="Cuantitativo",_xlfn.IFS(J24&lt;$U$30,0,J24&lt;$U$29,0.35,J24&lt;$U$28,0.7,J24&gt;=$U$28,1),J24)</f>
        <v>1</v>
      </c>
      <c r="L24" s="12">
        <f t="shared" si="0"/>
        <v>1.4999999999999999E-2</v>
      </c>
      <c r="O24" s="11"/>
      <c r="BA24" s="33" t="s">
        <v>219</v>
      </c>
      <c r="BB24" s="33" t="s">
        <v>297</v>
      </c>
      <c r="BC24" s="33">
        <v>22</v>
      </c>
      <c r="BD24" s="33" t="s">
        <v>290</v>
      </c>
      <c r="BE24" s="32" t="s">
        <v>298</v>
      </c>
      <c r="BF24" s="31" t="s">
        <v>291</v>
      </c>
      <c r="BG24" s="31" t="s">
        <v>227</v>
      </c>
      <c r="BH24" s="31" t="s">
        <v>292</v>
      </c>
      <c r="BI24" s="31" t="s">
        <v>260</v>
      </c>
      <c r="BJ24" s="42">
        <v>1</v>
      </c>
      <c r="BK24" s="1">
        <v>1.4999999999999999E-2</v>
      </c>
      <c r="BL24" s="2">
        <v>1.4999999999999999E-2</v>
      </c>
      <c r="BM24" s="1">
        <v>1.4999999999999999E-2</v>
      </c>
    </row>
    <row r="25" spans="1:65" ht="115.5" hidden="1" thickBot="1" x14ac:dyDescent="0.3">
      <c r="A25" s="40" t="s">
        <v>219</v>
      </c>
      <c r="B25" s="40">
        <v>24</v>
      </c>
      <c r="C25" s="39" t="s">
        <v>299</v>
      </c>
      <c r="D25" s="38" t="s">
        <v>300</v>
      </c>
      <c r="E25" s="38" t="s">
        <v>195</v>
      </c>
      <c r="F25" s="37"/>
      <c r="G25" s="37"/>
      <c r="H25" s="37"/>
      <c r="I25" s="1" cm="1">
        <f t="array" ref="I25">+_xlfn.IFS($U$2=1,BK26,$U$2=2,BL26,$U$2=3,+BM26)</f>
        <v>1.4999999999999999E-2</v>
      </c>
      <c r="J25">
        <v>0.35</v>
      </c>
      <c r="K25" s="13" cm="1">
        <f t="array" ref="K25">+IF(E25="Cuantitativo",_xlfn.IFS(J25&lt;$U$30,0,J25&lt;$U$29,0.35,J25&lt;$U$28,0.7,J25&gt;=$U$28,1),J25)</f>
        <v>0.35</v>
      </c>
      <c r="L25" s="12">
        <f t="shared" si="0"/>
        <v>5.2499999999999995E-3</v>
      </c>
      <c r="O25" s="11"/>
      <c r="BA25" s="33" t="s">
        <v>219</v>
      </c>
      <c r="BB25" s="33" t="s">
        <v>297</v>
      </c>
      <c r="BC25" s="33">
        <v>23</v>
      </c>
      <c r="BD25" s="33" t="s">
        <v>294</v>
      </c>
      <c r="BE25" s="32" t="s">
        <v>301</v>
      </c>
      <c r="BF25" s="31" t="s">
        <v>295</v>
      </c>
      <c r="BG25" s="31" t="s">
        <v>227</v>
      </c>
      <c r="BH25" s="31" t="s">
        <v>296</v>
      </c>
      <c r="BI25" s="31" t="s">
        <v>260</v>
      </c>
      <c r="BJ25" s="42">
        <v>1</v>
      </c>
      <c r="BK25" s="1">
        <v>1.4999999999999999E-2</v>
      </c>
      <c r="BL25" s="2">
        <v>1.4999999999999999E-2</v>
      </c>
      <c r="BM25" s="1">
        <v>1.4999999999999999E-2</v>
      </c>
    </row>
    <row r="26" spans="1:65" ht="64.5" thickBot="1" x14ac:dyDescent="0.3">
      <c r="A26" s="33" t="s">
        <v>219</v>
      </c>
      <c r="B26" s="33">
        <v>25</v>
      </c>
      <c r="C26" s="44" t="s">
        <v>302</v>
      </c>
      <c r="D26" s="43" t="s">
        <v>303</v>
      </c>
      <c r="E26" s="43" t="s">
        <v>227</v>
      </c>
      <c r="F26" s="31" t="s">
        <v>304</v>
      </c>
      <c r="G26" s="31" t="s">
        <v>260</v>
      </c>
      <c r="H26" s="42">
        <v>1</v>
      </c>
      <c r="I26" s="14" cm="1">
        <f t="array" ref="I26">+_xlfn.IFS($U$2=1,BK27,$U$2=2,BL27,$U$2=3,+BM27)</f>
        <v>0.01</v>
      </c>
      <c r="J26">
        <v>1</v>
      </c>
      <c r="K26" s="13" cm="1">
        <f t="array" ref="K26">+IF(E26="Cuantitativo",_xlfn.IFS(J26&lt;$U$30,0,J26&lt;$U$29,0.35,J26&lt;$U$28,0.7,J26&gt;=$U$28,1),J26)</f>
        <v>1</v>
      </c>
      <c r="L26" s="12">
        <f t="shared" si="0"/>
        <v>0.01</v>
      </c>
      <c r="O26" s="11"/>
      <c r="BA26" s="33" t="s">
        <v>219</v>
      </c>
      <c r="BB26" s="33" t="s">
        <v>297</v>
      </c>
      <c r="BC26" s="33">
        <v>24</v>
      </c>
      <c r="BD26" s="33" t="s">
        <v>299</v>
      </c>
      <c r="BE26" s="32" t="s">
        <v>305</v>
      </c>
      <c r="BF26" s="31" t="s">
        <v>300</v>
      </c>
      <c r="BG26" s="31" t="s">
        <v>195</v>
      </c>
      <c r="BH26" s="31"/>
      <c r="BI26" s="31"/>
      <c r="BJ26" s="31"/>
      <c r="BK26" s="1">
        <v>1.4999999999999999E-2</v>
      </c>
      <c r="BL26" s="2">
        <v>1.4999999999999999E-2</v>
      </c>
      <c r="BM26" s="1">
        <v>1.4999999999999999E-2</v>
      </c>
    </row>
    <row r="27" spans="1:65" ht="64.5" thickBot="1" x14ac:dyDescent="0.3">
      <c r="A27" s="33" t="s">
        <v>219</v>
      </c>
      <c r="B27" s="33">
        <v>26</v>
      </c>
      <c r="C27" s="44" t="s">
        <v>306</v>
      </c>
      <c r="D27" s="43" t="s">
        <v>307</v>
      </c>
      <c r="E27" s="43" t="s">
        <v>227</v>
      </c>
      <c r="F27" s="31" t="s">
        <v>308</v>
      </c>
      <c r="G27" s="31" t="s">
        <v>309</v>
      </c>
      <c r="H27" s="31">
        <v>0.6</v>
      </c>
      <c r="I27" s="14" cm="1">
        <f t="array" ref="I27">+_xlfn.IFS($U$2=1,BK28,$U$2=2,BL28,$U$2=3,+BM28)</f>
        <v>1.4999999999999999E-2</v>
      </c>
      <c r="J27">
        <v>3</v>
      </c>
      <c r="K27" s="13" cm="1">
        <f t="array" ref="K27">+IF(E27="Cuantitativo",_xlfn.IFS(J27&lt;$AB$30,0,J27&lt;$AB$29,0.35,J27&lt;$AB$28,0.7,J27&gt;=$AB$28,1),J27)</f>
        <v>1</v>
      </c>
      <c r="L27" s="12">
        <f t="shared" si="0"/>
        <v>1.4999999999999999E-2</v>
      </c>
      <c r="O27" s="11"/>
      <c r="V27">
        <v>500</v>
      </c>
      <c r="W27" s="11">
        <v>0.5</v>
      </c>
      <c r="X27" s="11">
        <v>0.3</v>
      </c>
      <c r="Y27">
        <v>18</v>
      </c>
      <c r="Z27" s="41">
        <v>1100</v>
      </c>
      <c r="AA27" s="41">
        <v>13</v>
      </c>
      <c r="AB27">
        <v>0.6</v>
      </c>
      <c r="AC27">
        <v>0.5</v>
      </c>
      <c r="AE27" s="11">
        <f ca="1">+SUMIF($A$2:B$44,$T4,$I$2:$I$44)</f>
        <v>0.21</v>
      </c>
      <c r="AF27" s="11">
        <f ca="1">+SUMIF($A$2:B$44,$T5,$I$2:$I$44)</f>
        <v>0.1</v>
      </c>
      <c r="AG27" s="11">
        <f ca="1">+SUMIF($A$2:B$44,$T6,$I$2:$I$44)</f>
        <v>0.21999999999999997</v>
      </c>
      <c r="AH27" s="11">
        <f ca="1">+SUMIF($A$2:B$44,$T7,$I$2:$I$44)</f>
        <v>0.25000000000000006</v>
      </c>
      <c r="AI27" s="11">
        <f ca="1">+SUMIF($A$2:B$44,$T8,$I$2:$I$44)</f>
        <v>0.12</v>
      </c>
      <c r="AJ27" s="11">
        <f ca="1">+SUMIF($A$2:B$44,$T9,$I$2:$I$44)</f>
        <v>0.1</v>
      </c>
      <c r="AK27" s="11">
        <v>1</v>
      </c>
      <c r="BA27" s="33" t="s">
        <v>219</v>
      </c>
      <c r="BB27" s="33" t="s">
        <v>297</v>
      </c>
      <c r="BC27" s="33">
        <v>25</v>
      </c>
      <c r="BD27" s="33" t="s">
        <v>302</v>
      </c>
      <c r="BE27" s="32" t="s">
        <v>310</v>
      </c>
      <c r="BF27" s="31" t="s">
        <v>303</v>
      </c>
      <c r="BG27" s="31" t="s">
        <v>227</v>
      </c>
      <c r="BH27" s="31" t="s">
        <v>304</v>
      </c>
      <c r="BI27" s="31" t="s">
        <v>260</v>
      </c>
      <c r="BJ27" s="42">
        <v>1</v>
      </c>
      <c r="BK27" s="1">
        <v>0.01</v>
      </c>
      <c r="BL27" s="2">
        <v>0.01</v>
      </c>
      <c r="BM27" s="1">
        <v>0.01</v>
      </c>
    </row>
    <row r="28" spans="1:65" ht="26.25" thickBot="1" x14ac:dyDescent="0.3">
      <c r="A28" s="33" t="s">
        <v>219</v>
      </c>
      <c r="B28" s="33">
        <v>27</v>
      </c>
      <c r="C28" s="44" t="s">
        <v>311</v>
      </c>
      <c r="D28" s="43" t="s">
        <v>312</v>
      </c>
      <c r="E28" s="43" t="s">
        <v>227</v>
      </c>
      <c r="F28" s="31" t="s">
        <v>313</v>
      </c>
      <c r="G28" s="31" t="s">
        <v>260</v>
      </c>
      <c r="H28" s="42">
        <v>1</v>
      </c>
      <c r="I28" s="14" cm="1">
        <f t="array" ref="I28">+_xlfn.IFS($U$2=1,BK29,$U$2=2,BL29,$U$2=3,+BM29)</f>
        <v>0.01</v>
      </c>
      <c r="J28">
        <v>1</v>
      </c>
      <c r="K28" s="13" cm="1">
        <f t="array" ref="K28">+IF(E28="Cuantitativo",_xlfn.IFS(J28&lt;$U$30,0,J28&lt;$U$29,0.35,J28&lt;$U$28,0.7,J28&gt;=$U$28,1),J28)</f>
        <v>1</v>
      </c>
      <c r="L28" s="12">
        <f t="shared" si="0"/>
        <v>0.01</v>
      </c>
      <c r="O28" s="11"/>
      <c r="T28" t="s">
        <v>314</v>
      </c>
      <c r="U28">
        <v>1</v>
      </c>
      <c r="V28">
        <f>+U28*$V$27</f>
        <v>500</v>
      </c>
      <c r="W28" s="11">
        <f>+U28*$W$27</f>
        <v>0.5</v>
      </c>
      <c r="X28" s="11">
        <f>+U28*$X$27</f>
        <v>0.3</v>
      </c>
      <c r="Y28">
        <f>+$U28*Y$27</f>
        <v>18</v>
      </c>
      <c r="Z28" s="41">
        <f>+$U28*Z$27</f>
        <v>1100</v>
      </c>
      <c r="AA28" s="41">
        <f>+$U28*AA$27</f>
        <v>13</v>
      </c>
      <c r="AB28">
        <f>+$U28*AB$27</f>
        <v>0.6</v>
      </c>
      <c r="AC28">
        <f>+$U28*AC$27</f>
        <v>0.5</v>
      </c>
      <c r="AE28" s="11">
        <f t="shared" ref="AE28:AK30" ca="1" si="2">+$U28*AE$27</f>
        <v>0.21</v>
      </c>
      <c r="AF28" s="11">
        <f t="shared" ca="1" si="2"/>
        <v>0.1</v>
      </c>
      <c r="AG28" s="11">
        <f t="shared" ca="1" si="2"/>
        <v>0.21999999999999997</v>
      </c>
      <c r="AH28" s="11">
        <f t="shared" ca="1" si="2"/>
        <v>0.25000000000000006</v>
      </c>
      <c r="AI28" s="11">
        <f t="shared" ca="1" si="2"/>
        <v>0.12</v>
      </c>
      <c r="AJ28" s="11">
        <f t="shared" ca="1" si="2"/>
        <v>0.1</v>
      </c>
      <c r="AK28" s="11">
        <f t="shared" si="2"/>
        <v>1</v>
      </c>
      <c r="BA28" s="33" t="s">
        <v>219</v>
      </c>
      <c r="BB28" s="33" t="s">
        <v>297</v>
      </c>
      <c r="BC28" s="33">
        <v>26</v>
      </c>
      <c r="BD28" s="33" t="s">
        <v>306</v>
      </c>
      <c r="BE28" s="32" t="s">
        <v>315</v>
      </c>
      <c r="BF28" s="31" t="s">
        <v>307</v>
      </c>
      <c r="BG28" s="31" t="s">
        <v>227</v>
      </c>
      <c r="BH28" s="31" t="s">
        <v>308</v>
      </c>
      <c r="BI28" s="31" t="s">
        <v>309</v>
      </c>
      <c r="BJ28" s="31">
        <v>0.6</v>
      </c>
      <c r="BK28" s="1">
        <v>1.4999999999999999E-2</v>
      </c>
      <c r="BL28" s="2">
        <v>1.4999999999999999E-2</v>
      </c>
      <c r="BM28" s="1">
        <v>1.4999999999999999E-2</v>
      </c>
    </row>
    <row r="29" spans="1:65" ht="51.75" hidden="1" thickBot="1" x14ac:dyDescent="0.3">
      <c r="A29" s="40" t="s">
        <v>219</v>
      </c>
      <c r="B29" s="40">
        <v>28</v>
      </c>
      <c r="C29" s="39" t="s">
        <v>316</v>
      </c>
      <c r="D29" s="38" t="s">
        <v>317</v>
      </c>
      <c r="E29" s="38" t="s">
        <v>195</v>
      </c>
      <c r="F29" s="37"/>
      <c r="G29" s="37"/>
      <c r="H29" s="37"/>
      <c r="I29" s="1" cm="1">
        <f t="array" ref="I29">+_xlfn.IFS($U$2=1,BK30,$U$2=2,BL30,$U$2=3,+BM30)</f>
        <v>1.4999999999999999E-2</v>
      </c>
      <c r="J29">
        <v>0.7</v>
      </c>
      <c r="K29" s="13" cm="1">
        <f t="array" ref="K29">+IF(E29="Cuantitativo",_xlfn.IFS(J29&lt;$U$30,0,J29&lt;$U$29,0.35,J29&lt;$U$28,0.7,J29&gt;=$U$28,1),J29)</f>
        <v>0.7</v>
      </c>
      <c r="L29" s="12">
        <f t="shared" si="0"/>
        <v>1.0499999999999999E-2</v>
      </c>
      <c r="O29" s="11"/>
      <c r="T29" t="s">
        <v>318</v>
      </c>
      <c r="U29">
        <v>0.7</v>
      </c>
      <c r="V29">
        <f>+U29*$V$27</f>
        <v>350</v>
      </c>
      <c r="W29" s="11">
        <f>+U29*$W$27</f>
        <v>0.35</v>
      </c>
      <c r="X29" s="11">
        <f>+U29*$X$27</f>
        <v>0.21</v>
      </c>
      <c r="Y29">
        <f>+$U29*$Y$27</f>
        <v>12.6</v>
      </c>
      <c r="Z29" s="41">
        <f t="shared" ref="Z29:AC31" si="3">+$U29*Z$27</f>
        <v>770</v>
      </c>
      <c r="AA29" s="41">
        <f t="shared" si="3"/>
        <v>9.1</v>
      </c>
      <c r="AB29">
        <f t="shared" si="3"/>
        <v>0.42</v>
      </c>
      <c r="AC29">
        <f t="shared" si="3"/>
        <v>0.35</v>
      </c>
      <c r="AE29" s="11">
        <f t="shared" ca="1" si="2"/>
        <v>0.14699999999999999</v>
      </c>
      <c r="AF29" s="11">
        <f t="shared" ca="1" si="2"/>
        <v>6.9999999999999993E-2</v>
      </c>
      <c r="AG29" s="11">
        <f t="shared" ca="1" si="2"/>
        <v>0.15399999999999997</v>
      </c>
      <c r="AH29" s="11">
        <f t="shared" ca="1" si="2"/>
        <v>0.17500000000000002</v>
      </c>
      <c r="AI29" s="11">
        <f t="shared" ca="1" si="2"/>
        <v>8.3999999999999991E-2</v>
      </c>
      <c r="AJ29" s="11">
        <f t="shared" ca="1" si="2"/>
        <v>6.9999999999999993E-2</v>
      </c>
      <c r="AK29" s="11">
        <f t="shared" si="2"/>
        <v>0.7</v>
      </c>
      <c r="BA29" s="33" t="s">
        <v>219</v>
      </c>
      <c r="BB29" s="33" t="s">
        <v>297</v>
      </c>
      <c r="BC29" s="33">
        <v>27</v>
      </c>
      <c r="BD29" s="33" t="s">
        <v>311</v>
      </c>
      <c r="BE29" s="32" t="s">
        <v>319</v>
      </c>
      <c r="BF29" s="31" t="s">
        <v>312</v>
      </c>
      <c r="BG29" s="31" t="s">
        <v>227</v>
      </c>
      <c r="BH29" s="31" t="s">
        <v>313</v>
      </c>
      <c r="BI29" s="31" t="s">
        <v>260</v>
      </c>
      <c r="BJ29" s="42">
        <v>1</v>
      </c>
      <c r="BK29" s="1">
        <v>0.01</v>
      </c>
      <c r="BL29" s="2">
        <v>0.01</v>
      </c>
      <c r="BM29" s="1">
        <v>0.01</v>
      </c>
    </row>
    <row r="30" spans="1:65" ht="39" hidden="1" thickBot="1" x14ac:dyDescent="0.3">
      <c r="A30" s="40" t="s">
        <v>219</v>
      </c>
      <c r="B30" s="40">
        <v>29</v>
      </c>
      <c r="C30" s="39" t="s">
        <v>320</v>
      </c>
      <c r="D30" s="38" t="s">
        <v>321</v>
      </c>
      <c r="E30" s="38" t="s">
        <v>195</v>
      </c>
      <c r="F30" s="37"/>
      <c r="G30" s="37"/>
      <c r="H30" s="37"/>
      <c r="I30" s="1" cm="1">
        <f t="array" ref="I30">+_xlfn.IFS($U$2=1,BK31,$U$2=2,BL31,$U$2=3,+BM31)</f>
        <v>0.02</v>
      </c>
      <c r="J30">
        <v>0.7</v>
      </c>
      <c r="K30" s="13" cm="1">
        <f t="array" ref="K30">+IF(E30="Cuantitativo",_xlfn.IFS(J30&lt;$U$30,0,J30&lt;$U$29,0.35,J30&lt;$U$28,0.7,J30&gt;=$U$28,1),J30)</f>
        <v>0.7</v>
      </c>
      <c r="L30" s="12">
        <f t="shared" si="0"/>
        <v>1.3999999999999999E-2</v>
      </c>
      <c r="O30" s="11"/>
      <c r="T30" t="s">
        <v>322</v>
      </c>
      <c r="U30">
        <v>0.35</v>
      </c>
      <c r="V30">
        <f>+U30*$V$27</f>
        <v>175</v>
      </c>
      <c r="W30" s="11">
        <f>+U30*$W$27</f>
        <v>0.17499999999999999</v>
      </c>
      <c r="X30" s="11">
        <f>+U30*$X$27</f>
        <v>0.105</v>
      </c>
      <c r="Y30">
        <f>+$U30*$Y$27</f>
        <v>6.3</v>
      </c>
      <c r="Z30" s="41">
        <f t="shared" si="3"/>
        <v>385</v>
      </c>
      <c r="AA30" s="41">
        <f t="shared" si="3"/>
        <v>4.55</v>
      </c>
      <c r="AB30">
        <f t="shared" si="3"/>
        <v>0.21</v>
      </c>
      <c r="AC30">
        <f t="shared" si="3"/>
        <v>0.17499999999999999</v>
      </c>
      <c r="AE30" s="11">
        <f t="shared" ca="1" si="2"/>
        <v>7.3499999999999996E-2</v>
      </c>
      <c r="AF30" s="11">
        <f t="shared" ca="1" si="2"/>
        <v>3.4999999999999996E-2</v>
      </c>
      <c r="AG30" s="11">
        <f t="shared" ca="1" si="2"/>
        <v>7.6999999999999985E-2</v>
      </c>
      <c r="AH30" s="11">
        <f t="shared" ca="1" si="2"/>
        <v>8.7500000000000008E-2</v>
      </c>
      <c r="AI30" s="11">
        <f t="shared" ca="1" si="2"/>
        <v>4.1999999999999996E-2</v>
      </c>
      <c r="AJ30" s="11">
        <f t="shared" ca="1" si="2"/>
        <v>3.4999999999999996E-2</v>
      </c>
      <c r="AK30" s="11">
        <f t="shared" si="2"/>
        <v>0.35</v>
      </c>
      <c r="BA30" s="33" t="s">
        <v>219</v>
      </c>
      <c r="BB30" s="33" t="s">
        <v>297</v>
      </c>
      <c r="BC30" s="33">
        <v>28</v>
      </c>
      <c r="BD30" s="33" t="s">
        <v>316</v>
      </c>
      <c r="BE30" s="32" t="s">
        <v>323</v>
      </c>
      <c r="BF30" s="31" t="s">
        <v>317</v>
      </c>
      <c r="BG30" s="31" t="s">
        <v>195</v>
      </c>
      <c r="BH30" s="31"/>
      <c r="BI30" s="31"/>
      <c r="BJ30" s="31"/>
      <c r="BK30" s="1">
        <v>1.4999999999999999E-2</v>
      </c>
      <c r="BL30" s="2">
        <v>1.4999999999999999E-2</v>
      </c>
      <c r="BM30" s="1">
        <v>1.4999999999999999E-2</v>
      </c>
    </row>
    <row r="31" spans="1:65" ht="51.75" hidden="1" thickBot="1" x14ac:dyDescent="0.3">
      <c r="A31" s="40" t="s">
        <v>219</v>
      </c>
      <c r="B31" s="40">
        <v>30</v>
      </c>
      <c r="C31" s="39" t="s">
        <v>324</v>
      </c>
      <c r="D31" s="38" t="s">
        <v>325</v>
      </c>
      <c r="E31" s="38" t="s">
        <v>195</v>
      </c>
      <c r="F31" s="37"/>
      <c r="G31" s="37"/>
      <c r="H31" s="37"/>
      <c r="I31" s="1" cm="1">
        <f t="array" ref="I31">+_xlfn.IFS($U$2=1,BK32,$U$2=2,BL32,$U$2=3,+BM32)</f>
        <v>0.01</v>
      </c>
      <c r="J31">
        <v>0.35</v>
      </c>
      <c r="K31" s="13" cm="1">
        <f t="array" ref="K31">+IF(E31="Cuantitativo",_xlfn.IFS(J31&lt;$U$30,0,J31&lt;$U$29,0.35,J31&lt;$U$28,0.7,J31&gt;=$U$28,1),J31)</f>
        <v>0.35</v>
      </c>
      <c r="L31" s="12">
        <f t="shared" si="0"/>
        <v>3.4999999999999996E-3</v>
      </c>
      <c r="O31" s="11"/>
      <c r="T31" t="s">
        <v>326</v>
      </c>
      <c r="U31">
        <v>0</v>
      </c>
      <c r="V31">
        <f>+U31*$V$27</f>
        <v>0</v>
      </c>
      <c r="W31" s="11">
        <f>+U31*$W$27</f>
        <v>0</v>
      </c>
      <c r="X31" s="11">
        <f>+U31*$X$27</f>
        <v>0</v>
      </c>
      <c r="Y31">
        <f>+$U31*$Y$27</f>
        <v>0</v>
      </c>
      <c r="Z31" s="41">
        <f t="shared" si="3"/>
        <v>0</v>
      </c>
      <c r="AA31" s="41">
        <f t="shared" si="3"/>
        <v>0</v>
      </c>
      <c r="AB31">
        <f t="shared" si="3"/>
        <v>0</v>
      </c>
      <c r="AC31">
        <f t="shared" si="3"/>
        <v>0</v>
      </c>
      <c r="BA31" s="33" t="s">
        <v>219</v>
      </c>
      <c r="BB31" s="33" t="s">
        <v>297</v>
      </c>
      <c r="BC31" s="33">
        <v>29</v>
      </c>
      <c r="BD31" s="33" t="s">
        <v>320</v>
      </c>
      <c r="BE31" s="32" t="s">
        <v>327</v>
      </c>
      <c r="BF31" s="31" t="s">
        <v>321</v>
      </c>
      <c r="BG31" s="31" t="s">
        <v>195</v>
      </c>
      <c r="BH31" s="31"/>
      <c r="BI31" s="31"/>
      <c r="BJ31" s="31"/>
      <c r="BK31" s="1">
        <v>0.02</v>
      </c>
      <c r="BL31" s="2">
        <v>0.02</v>
      </c>
      <c r="BM31" s="1">
        <v>0.02</v>
      </c>
    </row>
    <row r="32" spans="1:65" ht="39" hidden="1" thickBot="1" x14ac:dyDescent="0.3">
      <c r="A32" s="40" t="s">
        <v>219</v>
      </c>
      <c r="B32" s="40">
        <v>31</v>
      </c>
      <c r="C32" s="39" t="s">
        <v>127</v>
      </c>
      <c r="D32" s="38" t="s">
        <v>328</v>
      </c>
      <c r="E32" s="38" t="s">
        <v>195</v>
      </c>
      <c r="F32" s="37"/>
      <c r="G32" s="37"/>
      <c r="H32" s="37"/>
      <c r="I32" s="1" cm="1">
        <f t="array" ref="I32">+_xlfn.IFS($U$2=1,BK33,$U$2=2,BL33,$U$2=3,+BM33)</f>
        <v>1.4999999999999999E-2</v>
      </c>
      <c r="J32">
        <v>1</v>
      </c>
      <c r="K32" s="13" cm="1">
        <f t="array" ref="K32">+IF(E32="Cuantitativo",_xlfn.IFS(J32&lt;$U$30,0,J32&lt;$U$29,0.35,J32&lt;$U$28,0.7,J32&gt;=$U$28,1),J32)</f>
        <v>1</v>
      </c>
      <c r="L32" s="12">
        <f t="shared" si="0"/>
        <v>1.4999999999999999E-2</v>
      </c>
      <c r="O32" s="11"/>
      <c r="BA32" s="33" t="s">
        <v>219</v>
      </c>
      <c r="BB32" s="33" t="s">
        <v>297</v>
      </c>
      <c r="BC32" s="33">
        <v>30</v>
      </c>
      <c r="BD32" s="33" t="s">
        <v>324</v>
      </c>
      <c r="BE32" s="32" t="s">
        <v>329</v>
      </c>
      <c r="BF32" s="31" t="s">
        <v>325</v>
      </c>
      <c r="BG32" s="31" t="s">
        <v>195</v>
      </c>
      <c r="BH32" s="31"/>
      <c r="BI32" s="31"/>
      <c r="BJ32" s="31"/>
      <c r="BK32" s="1">
        <v>0.01</v>
      </c>
      <c r="BL32" s="2">
        <v>0.01</v>
      </c>
      <c r="BM32" s="1">
        <v>0.01</v>
      </c>
    </row>
    <row r="33" spans="1:65" ht="39" hidden="1" thickBot="1" x14ac:dyDescent="0.3">
      <c r="A33" s="40" t="s">
        <v>219</v>
      </c>
      <c r="B33" s="40">
        <v>32</v>
      </c>
      <c r="C33" s="39" t="s">
        <v>330</v>
      </c>
      <c r="D33" s="38" t="s">
        <v>331</v>
      </c>
      <c r="E33" s="38" t="s">
        <v>195</v>
      </c>
      <c r="F33" s="37"/>
      <c r="G33" s="37"/>
      <c r="H33" s="37"/>
      <c r="I33" s="1" cm="1">
        <f t="array" ref="I33">+_xlfn.IFS($U$2=1,BK34,$U$2=2,BL34,$U$2=3,+BM34)</f>
        <v>1.4999999999999999E-2</v>
      </c>
      <c r="J33">
        <v>0.7</v>
      </c>
      <c r="K33" s="13" cm="1">
        <f t="array" ref="K33">+IF(E33="Cuantitativo",_xlfn.IFS(J33&lt;$U$30,0,J33&lt;$U$29,0.35,J33&lt;$U$28,0.7,J33&gt;=$U$28,1),J33)</f>
        <v>0.7</v>
      </c>
      <c r="L33" s="12">
        <f t="shared" si="0"/>
        <v>1.0499999999999999E-2</v>
      </c>
      <c r="O33" s="11"/>
      <c r="BA33" s="33" t="s">
        <v>219</v>
      </c>
      <c r="BB33" s="33" t="s">
        <v>332</v>
      </c>
      <c r="BC33" s="33">
        <v>31</v>
      </c>
      <c r="BD33" s="33" t="s">
        <v>127</v>
      </c>
      <c r="BE33" s="32" t="s">
        <v>333</v>
      </c>
      <c r="BF33" s="31" t="s">
        <v>328</v>
      </c>
      <c r="BG33" s="31" t="s">
        <v>195</v>
      </c>
      <c r="BH33" s="31"/>
      <c r="BI33" s="31"/>
      <c r="BJ33" s="31"/>
      <c r="BK33" s="1">
        <v>1.4999999999999999E-2</v>
      </c>
      <c r="BL33" s="2">
        <v>1.4999999999999999E-2</v>
      </c>
      <c r="BM33" s="1">
        <v>1.4999999999999999E-2</v>
      </c>
    </row>
    <row r="34" spans="1:65" ht="39" hidden="1" thickBot="1" x14ac:dyDescent="0.3">
      <c r="A34" s="40" t="s">
        <v>219</v>
      </c>
      <c r="B34" s="40">
        <v>33</v>
      </c>
      <c r="C34" s="39" t="s">
        <v>334</v>
      </c>
      <c r="D34" s="38" t="s">
        <v>335</v>
      </c>
      <c r="E34" s="38" t="s">
        <v>195</v>
      </c>
      <c r="F34" s="37"/>
      <c r="G34" s="37"/>
      <c r="H34" s="37"/>
      <c r="I34" s="1" cm="1">
        <f t="array" ref="I34">+_xlfn.IFS($U$2=1,BK35,$U$2=2,BL35,$U$2=3,+BM35)</f>
        <v>0.01</v>
      </c>
      <c r="J34">
        <v>0.7</v>
      </c>
      <c r="K34" s="13" cm="1">
        <f t="array" ref="K34">+IF(E34="Cuantitativo",_xlfn.IFS(J34&lt;$U$30,0,J34&lt;$U$29,0.35,J34&lt;$U$28,0.7,J34&gt;=$U$28,1),J34)</f>
        <v>0.7</v>
      </c>
      <c r="L34" s="12">
        <f t="shared" si="0"/>
        <v>6.9999999999999993E-3</v>
      </c>
      <c r="O34" s="11"/>
      <c r="BA34" s="33" t="s">
        <v>219</v>
      </c>
      <c r="BB34" s="33" t="s">
        <v>332</v>
      </c>
      <c r="BC34" s="33">
        <v>32</v>
      </c>
      <c r="BD34" s="33" t="s">
        <v>330</v>
      </c>
      <c r="BE34" s="32" t="s">
        <v>336</v>
      </c>
      <c r="BF34" s="31" t="s">
        <v>331</v>
      </c>
      <c r="BG34" s="31" t="s">
        <v>195</v>
      </c>
      <c r="BH34" s="31"/>
      <c r="BI34" s="31"/>
      <c r="BJ34" s="31"/>
      <c r="BK34" s="1">
        <v>1.4999999999999999E-2</v>
      </c>
      <c r="BL34" s="2">
        <v>1.4999999999999999E-2</v>
      </c>
      <c r="BM34" s="1">
        <v>1.4999999999999999E-2</v>
      </c>
    </row>
    <row r="35" spans="1:65" ht="51.75" hidden="1" thickBot="1" x14ac:dyDescent="0.3">
      <c r="A35" s="40" t="s">
        <v>219</v>
      </c>
      <c r="B35" s="40">
        <v>34</v>
      </c>
      <c r="C35" s="39" t="s">
        <v>337</v>
      </c>
      <c r="D35" s="38" t="s">
        <v>338</v>
      </c>
      <c r="E35" s="38" t="s">
        <v>195</v>
      </c>
      <c r="F35" s="37"/>
      <c r="G35" s="37"/>
      <c r="H35" s="37"/>
      <c r="I35" s="1" cm="1">
        <f t="array" ref="I35">+_xlfn.IFS($U$2=1,BK36,$U$2=2,BL36,$U$2=3,+BM36)</f>
        <v>1.4999999999999999E-2</v>
      </c>
      <c r="J35">
        <v>0.35</v>
      </c>
      <c r="K35" s="13" cm="1">
        <f t="array" ref="K35">+IF(E35="Cuantitativo",_xlfn.IFS(J35&lt;$U$30,0,J35&lt;$U$29,0.35,J35&lt;$U$28,0.7,J35&gt;=$U$28,1),J35)</f>
        <v>0.35</v>
      </c>
      <c r="L35" s="12">
        <f t="shared" si="0"/>
        <v>5.2499999999999995E-3</v>
      </c>
      <c r="O35" s="11"/>
      <c r="BA35" s="33" t="s">
        <v>219</v>
      </c>
      <c r="BB35" s="33" t="s">
        <v>339</v>
      </c>
      <c r="BC35" s="33">
        <v>33</v>
      </c>
      <c r="BD35" s="33" t="s">
        <v>334</v>
      </c>
      <c r="BE35" s="32" t="s">
        <v>340</v>
      </c>
      <c r="BF35" s="31" t="s">
        <v>335</v>
      </c>
      <c r="BG35" s="31" t="s">
        <v>195</v>
      </c>
      <c r="BH35" s="31"/>
      <c r="BI35" s="31"/>
      <c r="BJ35" s="31"/>
      <c r="BK35" s="1">
        <v>0.01</v>
      </c>
      <c r="BL35" s="2">
        <v>0.01</v>
      </c>
      <c r="BM35" s="1">
        <v>0.01</v>
      </c>
    </row>
    <row r="36" spans="1:65" ht="64.5" hidden="1" thickBot="1" x14ac:dyDescent="0.3">
      <c r="A36" s="40" t="s">
        <v>219</v>
      </c>
      <c r="B36" s="40">
        <v>35</v>
      </c>
      <c r="C36" s="39" t="s">
        <v>341</v>
      </c>
      <c r="D36" s="38" t="s">
        <v>342</v>
      </c>
      <c r="E36" s="38" t="s">
        <v>195</v>
      </c>
      <c r="F36" s="37"/>
      <c r="G36" s="37"/>
      <c r="H36" s="37"/>
      <c r="I36" s="1" cm="1">
        <f t="array" ref="I36">+_xlfn.IFS($U$2=1,BK37,$U$2=2,BL37,$U$2=3,+BM37)</f>
        <v>0.02</v>
      </c>
      <c r="J36">
        <v>1</v>
      </c>
      <c r="K36" s="13" cm="1">
        <f t="array" ref="K36">+IF(E36="Cuantitativo",_xlfn.IFS(J36&lt;$U$30,0,J36&lt;$U$29,0.35,J36&lt;$U$28,0.7,J36&gt;=$U$28,1),J36)</f>
        <v>1</v>
      </c>
      <c r="L36" s="12">
        <f t="shared" si="0"/>
        <v>0.02</v>
      </c>
      <c r="O36" s="11"/>
      <c r="BA36" s="33" t="s">
        <v>219</v>
      </c>
      <c r="BB36" s="33" t="s">
        <v>339</v>
      </c>
      <c r="BC36" s="33">
        <v>34</v>
      </c>
      <c r="BD36" s="33" t="s">
        <v>337</v>
      </c>
      <c r="BE36" s="32" t="s">
        <v>343</v>
      </c>
      <c r="BF36" s="31" t="s">
        <v>338</v>
      </c>
      <c r="BG36" s="31" t="s">
        <v>195</v>
      </c>
      <c r="BH36" s="31"/>
      <c r="BI36" s="31"/>
      <c r="BJ36" s="31"/>
      <c r="BK36" s="1">
        <v>1.4999999999999999E-2</v>
      </c>
      <c r="BL36" s="2">
        <v>1.4999999999999999E-2</v>
      </c>
      <c r="BM36" s="1">
        <v>1.4999999999999999E-2</v>
      </c>
    </row>
    <row r="37" spans="1:65" ht="51.75" hidden="1" thickBot="1" x14ac:dyDescent="0.3">
      <c r="A37" s="40" t="s">
        <v>219</v>
      </c>
      <c r="B37" s="40">
        <v>36</v>
      </c>
      <c r="C37" s="39" t="s">
        <v>344</v>
      </c>
      <c r="D37" s="38" t="s">
        <v>345</v>
      </c>
      <c r="E37" s="38" t="s">
        <v>195</v>
      </c>
      <c r="F37" s="37"/>
      <c r="G37" s="37"/>
      <c r="H37" s="37"/>
      <c r="I37" s="14" cm="1">
        <f t="array" ref="I37">+_xlfn.IFS($U$2=1,BK38,$U$2=2,BL38,$U$2=3,+BM38)</f>
        <v>0.02</v>
      </c>
      <c r="J37">
        <v>1</v>
      </c>
      <c r="K37" s="13" cm="1">
        <f t="array" ref="K37">+IF(E37="Cuantitativo",_xlfn.IFS(J37&lt;$U$30,0,J37&lt;$U$29,0.35,J37&lt;$U$28,0.7,J37&gt;=$U$28,1),J37)</f>
        <v>1</v>
      </c>
      <c r="L37" s="12">
        <f t="shared" si="0"/>
        <v>0.02</v>
      </c>
      <c r="O37" s="11"/>
      <c r="BA37" s="33" t="s">
        <v>219</v>
      </c>
      <c r="BB37" s="33" t="s">
        <v>346</v>
      </c>
      <c r="BC37" s="33">
        <v>35</v>
      </c>
      <c r="BD37" s="33" t="s">
        <v>341</v>
      </c>
      <c r="BE37" s="32" t="s">
        <v>347</v>
      </c>
      <c r="BF37" s="31" t="s">
        <v>342</v>
      </c>
      <c r="BG37" s="31" t="s">
        <v>195</v>
      </c>
      <c r="BH37" s="31"/>
      <c r="BI37" s="31"/>
      <c r="BJ37" s="31"/>
      <c r="BK37" s="1">
        <v>0.02</v>
      </c>
      <c r="BL37" s="2">
        <v>0.02</v>
      </c>
      <c r="BM37" s="1">
        <v>0.02</v>
      </c>
    </row>
    <row r="38" spans="1:65" ht="51.75" hidden="1" thickBot="1" x14ac:dyDescent="0.3">
      <c r="A38" s="40" t="s">
        <v>219</v>
      </c>
      <c r="B38" s="40">
        <v>37</v>
      </c>
      <c r="C38" s="39" t="s">
        <v>138</v>
      </c>
      <c r="D38" s="38" t="s">
        <v>348</v>
      </c>
      <c r="E38" s="38" t="s">
        <v>195</v>
      </c>
      <c r="F38" s="37"/>
      <c r="G38" s="37"/>
      <c r="H38" s="37"/>
      <c r="I38" s="14" cm="1">
        <f t="array" ref="I38">+_xlfn.IFS($U$2=1,BK39,$U$2=2,BL39,$U$2=3,+BM39)</f>
        <v>1.4999999999999999E-2</v>
      </c>
      <c r="J38">
        <v>1</v>
      </c>
      <c r="K38" s="13" cm="1">
        <f t="array" ref="K38">+IF(E38="Cuantitativo",_xlfn.IFS(J38&lt;$U$30,0,J38&lt;$U$29,0.35,J38&lt;$U$28,0.7,J38&gt;=$U$28,1),J38)</f>
        <v>1</v>
      </c>
      <c r="L38" s="12">
        <f t="shared" si="0"/>
        <v>1.4999999999999999E-2</v>
      </c>
      <c r="O38" s="11"/>
      <c r="BA38" s="33" t="s">
        <v>219</v>
      </c>
      <c r="BB38" s="33" t="s">
        <v>346</v>
      </c>
      <c r="BC38" s="33">
        <v>36</v>
      </c>
      <c r="BD38" s="33" t="s">
        <v>344</v>
      </c>
      <c r="BE38" s="32" t="s">
        <v>349</v>
      </c>
      <c r="BF38" s="31" t="s">
        <v>345</v>
      </c>
      <c r="BG38" s="31" t="s">
        <v>195</v>
      </c>
      <c r="BH38" s="31"/>
      <c r="BI38" s="31"/>
      <c r="BJ38" s="31"/>
      <c r="BK38" s="1">
        <v>0.02</v>
      </c>
      <c r="BL38" s="2">
        <v>0.02</v>
      </c>
      <c r="BM38" s="1">
        <v>0.02</v>
      </c>
    </row>
    <row r="39" spans="1:65" ht="39" hidden="1" thickBot="1" x14ac:dyDescent="0.3">
      <c r="A39" s="40" t="s">
        <v>219</v>
      </c>
      <c r="B39" s="40">
        <v>38</v>
      </c>
      <c r="C39" s="39" t="s">
        <v>350</v>
      </c>
      <c r="D39" s="38" t="s">
        <v>351</v>
      </c>
      <c r="E39" s="38" t="s">
        <v>195</v>
      </c>
      <c r="F39" s="37"/>
      <c r="G39" s="37"/>
      <c r="H39" s="37"/>
      <c r="I39" s="14" cm="1">
        <f t="array" ref="I39">+_xlfn.IFS($U$2=1,BK40,$U$2=2,BL40,$U$2=3,+BM40)</f>
        <v>1.4999999999999999E-2</v>
      </c>
      <c r="J39">
        <v>0.7</v>
      </c>
      <c r="K39" s="13" cm="1">
        <f t="array" ref="K39">+IF(E39="Cuantitativo",_xlfn.IFS(J39&lt;$U$30,0,J39&lt;$U$29,0.35,J39&lt;$U$28,0.7,J39&gt;=$U$28,1),J39)</f>
        <v>0.7</v>
      </c>
      <c r="L39" s="12">
        <f t="shared" si="0"/>
        <v>1.0499999999999999E-2</v>
      </c>
      <c r="O39" s="11"/>
      <c r="BA39" s="33" t="s">
        <v>219</v>
      </c>
      <c r="BB39" s="33" t="s">
        <v>352</v>
      </c>
      <c r="BC39" s="33">
        <v>37</v>
      </c>
      <c r="BD39" s="33" t="s">
        <v>138</v>
      </c>
      <c r="BE39" s="32" t="s">
        <v>353</v>
      </c>
      <c r="BF39" s="31" t="s">
        <v>348</v>
      </c>
      <c r="BG39" s="31" t="s">
        <v>195</v>
      </c>
      <c r="BH39" s="31"/>
      <c r="BI39" s="31"/>
      <c r="BJ39" s="31"/>
      <c r="BK39" s="1">
        <v>1.4999999999999999E-2</v>
      </c>
      <c r="BL39" s="2">
        <v>1.4999999999999999E-2</v>
      </c>
      <c r="BM39" s="1">
        <v>1.4999999999999999E-2</v>
      </c>
    </row>
    <row r="40" spans="1:65" ht="90" hidden="1" thickBot="1" x14ac:dyDescent="0.3">
      <c r="A40" s="36" t="s">
        <v>223</v>
      </c>
      <c r="B40" s="36">
        <v>39</v>
      </c>
      <c r="C40" s="35" t="s">
        <v>354</v>
      </c>
      <c r="D40" s="34" t="s">
        <v>355</v>
      </c>
      <c r="E40" s="34" t="s">
        <v>195</v>
      </c>
      <c r="F40" s="22"/>
      <c r="G40" s="22"/>
      <c r="H40" s="22"/>
      <c r="I40" s="14" cm="1">
        <f t="array" ref="I40">+_xlfn.IFS($U$2=1,BK41,$U$2=2,BL41,$U$2=3,+BM41)</f>
        <v>4.4999999999999998E-2</v>
      </c>
      <c r="J40">
        <v>0.35</v>
      </c>
      <c r="K40" s="13" cm="1">
        <f t="array" ref="K40">+IF(E40="Cuantitativo",_xlfn.IFS(J40&lt;$U$30,0,J40&lt;$U$29,0.35,J40&lt;$U$28,0.7,J40&gt;=$U$28,1),J40)</f>
        <v>0.35</v>
      </c>
      <c r="L40" s="12">
        <f t="shared" si="0"/>
        <v>1.575E-2</v>
      </c>
      <c r="O40" s="11"/>
      <c r="BA40" s="33" t="s">
        <v>219</v>
      </c>
      <c r="BB40" s="33" t="s">
        <v>352</v>
      </c>
      <c r="BC40" s="33">
        <v>38</v>
      </c>
      <c r="BD40" s="33" t="s">
        <v>350</v>
      </c>
      <c r="BE40" s="32" t="s">
        <v>356</v>
      </c>
      <c r="BF40" s="31" t="s">
        <v>351</v>
      </c>
      <c r="BG40" s="31" t="s">
        <v>195</v>
      </c>
      <c r="BH40" s="31"/>
      <c r="BI40" s="31"/>
      <c r="BJ40" s="31"/>
      <c r="BK40" s="1">
        <v>1.4999999999999999E-2</v>
      </c>
      <c r="BL40" s="2">
        <v>1.4999999999999999E-2</v>
      </c>
      <c r="BM40" s="1">
        <v>1.4999999999999999E-2</v>
      </c>
    </row>
    <row r="41" spans="1:65" ht="39" thickBot="1" x14ac:dyDescent="0.3">
      <c r="A41" s="24" t="s">
        <v>223</v>
      </c>
      <c r="B41" s="24">
        <v>40</v>
      </c>
      <c r="C41" s="30" t="s">
        <v>357</v>
      </c>
      <c r="D41" s="29" t="s">
        <v>358</v>
      </c>
      <c r="E41" s="29" t="s">
        <v>227</v>
      </c>
      <c r="F41" s="22" t="s">
        <v>359</v>
      </c>
      <c r="G41" s="22" t="s">
        <v>360</v>
      </c>
      <c r="H41" s="22">
        <v>0.5</v>
      </c>
      <c r="I41" s="14" cm="1">
        <f t="array" ref="I41">+_xlfn.IFS($U$2=1,BK42,$U$2=2,BL42,$U$2=3,+BM42)</f>
        <v>4.4999999999999998E-2</v>
      </c>
      <c r="J41">
        <v>1</v>
      </c>
      <c r="K41" s="13" cm="1">
        <f t="array" ref="K41">+IF(E41="Cuantitativo",_xlfn.IFS(J41&lt;$AC$30,0,J41&lt;$AC$29,0.35,J41&lt;$AC$28,0.7,J41&gt;=$AC$28,1),J41)</f>
        <v>1</v>
      </c>
      <c r="L41" s="12">
        <f t="shared" si="0"/>
        <v>4.4999999999999998E-2</v>
      </c>
      <c r="O41" s="11"/>
      <c r="BA41" s="24" t="s">
        <v>223</v>
      </c>
      <c r="BB41" s="24" t="s">
        <v>361</v>
      </c>
      <c r="BC41" s="24">
        <v>39</v>
      </c>
      <c r="BD41" s="24" t="s">
        <v>354</v>
      </c>
      <c r="BE41" s="23" t="s">
        <v>362</v>
      </c>
      <c r="BF41" s="22" t="s">
        <v>355</v>
      </c>
      <c r="BG41" s="22" t="s">
        <v>195</v>
      </c>
      <c r="BH41" s="22"/>
      <c r="BI41" s="22"/>
      <c r="BJ41" s="22"/>
      <c r="BK41" s="1">
        <v>4.4999999999999998E-2</v>
      </c>
      <c r="BL41" s="2">
        <v>4.4999999999999998E-2</v>
      </c>
      <c r="BM41" s="1">
        <v>4.4999999999999998E-2</v>
      </c>
    </row>
    <row r="42" spans="1:65" ht="51.75" hidden="1" thickBot="1" x14ac:dyDescent="0.3">
      <c r="A42" s="28" t="s">
        <v>223</v>
      </c>
      <c r="B42" s="28">
        <v>41</v>
      </c>
      <c r="C42" s="27" t="s">
        <v>363</v>
      </c>
      <c r="D42" s="26" t="s">
        <v>364</v>
      </c>
      <c r="E42" s="26" t="s">
        <v>195</v>
      </c>
      <c r="F42" s="19"/>
      <c r="G42" s="19"/>
      <c r="H42" s="19"/>
      <c r="I42" s="25" cm="1">
        <f t="array" ref="I42">+_xlfn.IFS($U$2=1,BK43,$U$2=2,BL43,$U$2=3,+BM43)</f>
        <v>0.03</v>
      </c>
      <c r="J42">
        <v>0.35</v>
      </c>
      <c r="K42" s="13" cm="1">
        <f t="array" ref="K42">+IF(E42="Cuantitativo",_xlfn.IFS(J42&lt;$U$30,0,J42&lt;$U$29,0.35,J42&lt;$U$28,0.7,J42&gt;=$U$28,1),J42)</f>
        <v>0.35</v>
      </c>
      <c r="L42" s="12">
        <f t="shared" si="0"/>
        <v>1.0499999999999999E-2</v>
      </c>
      <c r="O42" s="11"/>
      <c r="BA42" s="24" t="s">
        <v>223</v>
      </c>
      <c r="BB42" s="24" t="s">
        <v>361</v>
      </c>
      <c r="BC42" s="24">
        <v>40</v>
      </c>
      <c r="BD42" s="24" t="s">
        <v>357</v>
      </c>
      <c r="BE42" s="23" t="s">
        <v>365</v>
      </c>
      <c r="BF42" s="22" t="s">
        <v>358</v>
      </c>
      <c r="BG42" s="22" t="s">
        <v>227</v>
      </c>
      <c r="BH42" s="22" t="s">
        <v>359</v>
      </c>
      <c r="BI42" s="22" t="s">
        <v>360</v>
      </c>
      <c r="BJ42" s="22">
        <v>0.5</v>
      </c>
      <c r="BK42" s="1">
        <v>4.4999999999999998E-2</v>
      </c>
      <c r="BL42" s="2">
        <v>4.4999999999999998E-2</v>
      </c>
      <c r="BM42" s="1">
        <v>4.4999999999999998E-2</v>
      </c>
    </row>
    <row r="43" spans="1:65" ht="39" hidden="1" thickBot="1" x14ac:dyDescent="0.3">
      <c r="A43" s="5" t="s">
        <v>230</v>
      </c>
      <c r="B43" s="5">
        <v>42</v>
      </c>
      <c r="C43" s="16" t="s">
        <v>150</v>
      </c>
      <c r="D43" s="15" t="s">
        <v>366</v>
      </c>
      <c r="E43" s="15" t="s">
        <v>195</v>
      </c>
      <c r="F43" s="3"/>
      <c r="G43" s="3"/>
      <c r="H43" s="3"/>
      <c r="I43" s="14" cm="1">
        <f t="array" ref="I43">+_xlfn.IFS($U$2=1,BK44,$U$2=2,BL44,$U$2=3,+BM44)</f>
        <v>0.06</v>
      </c>
      <c r="J43">
        <v>1</v>
      </c>
      <c r="K43" s="13" cm="1">
        <f t="array" ref="K43">+IF(E43="Cuantitativo",_xlfn.IFS(J43&lt;$U$30,0,J43&lt;$U$29,0.35,J43&lt;$U$28,0.7,J43&gt;=$U$28,1),J43)</f>
        <v>1</v>
      </c>
      <c r="L43" s="12">
        <f t="shared" si="0"/>
        <v>0.06</v>
      </c>
      <c r="O43" s="11"/>
      <c r="BA43" s="21" t="s">
        <v>223</v>
      </c>
      <c r="BB43" s="21" t="s">
        <v>367</v>
      </c>
      <c r="BC43" s="21">
        <v>41</v>
      </c>
      <c r="BD43" s="21" t="s">
        <v>363</v>
      </c>
      <c r="BE43" s="20" t="s">
        <v>368</v>
      </c>
      <c r="BF43" s="19" t="s">
        <v>364</v>
      </c>
      <c r="BG43" s="19" t="s">
        <v>195</v>
      </c>
      <c r="BH43" s="19"/>
      <c r="BI43" s="19"/>
      <c r="BJ43" s="19"/>
      <c r="BK43" s="17">
        <v>0.03</v>
      </c>
      <c r="BL43" s="18">
        <v>0.03</v>
      </c>
      <c r="BM43" s="17">
        <v>0.03</v>
      </c>
    </row>
    <row r="44" spans="1:65" ht="77.25" hidden="1" thickBot="1" x14ac:dyDescent="0.3">
      <c r="A44" s="5" t="s">
        <v>230</v>
      </c>
      <c r="B44" s="5">
        <v>43</v>
      </c>
      <c r="C44" s="16" t="s">
        <v>163</v>
      </c>
      <c r="D44" s="15" t="s">
        <v>369</v>
      </c>
      <c r="E44" s="15" t="s">
        <v>195</v>
      </c>
      <c r="F44" s="3"/>
      <c r="G44" s="3"/>
      <c r="H44" s="3"/>
      <c r="I44" s="14" cm="1">
        <f t="array" ref="I44">+_xlfn.IFS($U$2=1,BK45,$U$2=2,BL45,$U$2=3,+BM45)</f>
        <v>0.04</v>
      </c>
      <c r="J44">
        <v>0.7</v>
      </c>
      <c r="K44" s="13" cm="1">
        <f t="array" ref="K44">+IF(E44="Cuantitativo",_xlfn.IFS(J44&lt;$U$30,0,J44&lt;$U$29,0.35,J44&lt;$U$28,0.7,J44&gt;=$U$28,1),J44)</f>
        <v>0.7</v>
      </c>
      <c r="L44" s="12">
        <f t="shared" si="0"/>
        <v>2.7999999999999997E-2</v>
      </c>
      <c r="O44" s="11"/>
      <c r="BA44" s="5" t="s">
        <v>230</v>
      </c>
      <c r="BB44" s="5" t="s">
        <v>370</v>
      </c>
      <c r="BC44" s="5">
        <v>42</v>
      </c>
      <c r="BD44" s="5" t="s">
        <v>150</v>
      </c>
      <c r="BE44" s="4" t="s">
        <v>371</v>
      </c>
      <c r="BF44" s="3" t="s">
        <v>366</v>
      </c>
      <c r="BG44" s="3" t="s">
        <v>195</v>
      </c>
      <c r="BH44" s="3"/>
      <c r="BI44" s="3"/>
      <c r="BJ44" s="3"/>
      <c r="BK44" s="1">
        <v>0.06</v>
      </c>
      <c r="BL44" s="2">
        <v>0.06</v>
      </c>
      <c r="BM44" s="1">
        <v>0.06</v>
      </c>
    </row>
    <row r="45" spans="1:65" ht="51.75" thickBot="1" x14ac:dyDescent="0.3">
      <c r="A45" s="10"/>
      <c r="B45" s="10"/>
      <c r="C45" s="10"/>
      <c r="D45" s="10"/>
      <c r="E45" s="10"/>
      <c r="F45" s="10"/>
      <c r="G45" s="10"/>
      <c r="H45" s="10"/>
      <c r="I45" s="9">
        <f>SUM(I2:I44)</f>
        <v>1.0000000000000007</v>
      </c>
      <c r="J45" s="8"/>
      <c r="K45" s="7"/>
      <c r="L45" s="6">
        <f>SUM(L2:L44)</f>
        <v>0.78725000000000001</v>
      </c>
      <c r="BA45" s="5" t="s">
        <v>230</v>
      </c>
      <c r="BB45" s="5" t="s">
        <v>372</v>
      </c>
      <c r="BC45" s="5">
        <v>43</v>
      </c>
      <c r="BD45" s="5" t="s">
        <v>163</v>
      </c>
      <c r="BE45" s="4" t="s">
        <v>373</v>
      </c>
      <c r="BF45" s="3" t="s">
        <v>369</v>
      </c>
      <c r="BG45" s="3" t="s">
        <v>195</v>
      </c>
      <c r="BH45" s="3"/>
      <c r="BI45" s="3"/>
      <c r="BJ45" s="3"/>
      <c r="BK45" s="1">
        <v>0.04</v>
      </c>
      <c r="BL45" s="2">
        <v>0.04</v>
      </c>
      <c r="BM45" s="1">
        <v>0.04</v>
      </c>
    </row>
  </sheetData>
  <autoFilter ref="A1:L45" xr:uid="{DCBFD68D-2BAE-4CA6-9497-E02AFFBD703E}">
    <filterColumn colId="4">
      <filters blank="1">
        <filter val="Cuantitativo"/>
      </filters>
    </filterColumn>
  </autoFilter>
  <mergeCells count="1">
    <mergeCell ref="V2:W2"/>
  </mergeCells>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76850b-287c-47b5-8560-53e859229b9c" xsi:nil="true"/>
    <lcf76f155ced4ddcb4097134ff3c332f xmlns="40632ff2-74ee-4e34-8083-af953f40b566">
      <Terms xmlns="http://schemas.microsoft.com/office/infopath/2007/PartnerControls"/>
    </lcf76f155ced4ddcb4097134ff3c332f>
    <Revisi_x00f3_n xmlns="40632ff2-74ee-4e34-8083-af953f40b566">true</Revisi_x00f3_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0D7EEFA29D6B14997B5413FC1F441CF" ma:contentTypeVersion="19" ma:contentTypeDescription="Crear nuevo documento." ma:contentTypeScope="" ma:versionID="b15262acfc926a40dd9cf411f3211aa5">
  <xsd:schema xmlns:xsd="http://www.w3.org/2001/XMLSchema" xmlns:xs="http://www.w3.org/2001/XMLSchema" xmlns:p="http://schemas.microsoft.com/office/2006/metadata/properties" xmlns:ns2="40632ff2-74ee-4e34-8083-af953f40b566" xmlns:ns3="0b76850b-287c-47b5-8560-53e859229b9c" targetNamespace="http://schemas.microsoft.com/office/2006/metadata/properties" ma:root="true" ma:fieldsID="a891ef5f540bc15b46dd92ccb3e89264" ns2:_="" ns3:_="">
    <xsd:import namespace="40632ff2-74ee-4e34-8083-af953f40b566"/>
    <xsd:import namespace="0b76850b-287c-47b5-8560-53e859229b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Revisi_x00f3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632ff2-74ee-4e34-8083-af953f40b5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45854378-6c82-4d6a-951a-7baa41fb6f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visi_x00f3_n" ma:index="26" nillable="true" ma:displayName="Revisión" ma:default="1" ma:format="Dropdown" ma:internalName="Revisi_x00f3_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0b76850b-287c-47b5-8560-53e859229b9c"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11bfc01c-6f80-451c-ac48-2d4f4570b4f8}" ma:internalName="TaxCatchAll" ma:showField="CatchAllData" ma:web="0b76850b-287c-47b5-8560-53e859229b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ED0B8B-86FD-47B9-BB71-084B3CB67376}">
  <ds:schemaRefs>
    <ds:schemaRef ds:uri="http://schemas.microsoft.com/office/2006/metadata/properties"/>
    <ds:schemaRef ds:uri="http://schemas.microsoft.com/office/infopath/2007/PartnerControls"/>
    <ds:schemaRef ds:uri="0b76850b-287c-47b5-8560-53e859229b9c"/>
    <ds:schemaRef ds:uri="40632ff2-74ee-4e34-8083-af953f40b566"/>
  </ds:schemaRefs>
</ds:datastoreItem>
</file>

<file path=customXml/itemProps2.xml><?xml version="1.0" encoding="utf-8"?>
<ds:datastoreItem xmlns:ds="http://schemas.openxmlformats.org/officeDocument/2006/customXml" ds:itemID="{CDBE4707-1362-4367-B92B-E8E161D637F5}">
  <ds:schemaRefs>
    <ds:schemaRef ds:uri="http://schemas.microsoft.com/sharepoint/v3/contenttype/forms"/>
  </ds:schemaRefs>
</ds:datastoreItem>
</file>

<file path=customXml/itemProps3.xml><?xml version="1.0" encoding="utf-8"?>
<ds:datastoreItem xmlns:ds="http://schemas.openxmlformats.org/officeDocument/2006/customXml" ds:itemID="{4407183C-F4F1-4EBB-92EA-DEDA07B79D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632ff2-74ee-4e34-8083-af953f40b566"/>
    <ds:schemaRef ds:uri="0b76850b-287c-47b5-8560-53e859229b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INDICADORES CUALITATIVOS</vt:lpstr>
      <vt:lpstr>Sheet1</vt:lpstr>
      <vt:lpstr>DATOS BÁSICOS</vt:lpstr>
      <vt:lpstr>PESOS</vt:lpstr>
      <vt:lpstr>ELEFUND_tipo</vt:lpstr>
      <vt:lpstr>ESTADOEF</vt:lpstr>
      <vt:lpstr>IndicadoresCodigo</vt:lpstr>
      <vt:lpstr>Tipo_Pesos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Katty de Lourdes Valencia Caicedo</dc:creator>
  <cp:keywords/>
  <dc:description/>
  <cp:lastModifiedBy>Fabricio Alexander  Borja Hernández</cp:lastModifiedBy>
  <cp:revision/>
  <dcterms:created xsi:type="dcterms:W3CDTF">2025-09-01T13:08:27Z</dcterms:created>
  <dcterms:modified xsi:type="dcterms:W3CDTF">2026-05-04T19:49:31Z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0x01010020D7EEFA29D6B14997B5413FC1F441CF</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2025-10-15T15:31:27Z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39370498-2204-4ace-bc5e-31686bcb682b</vt:lpwstr>
  </property>
  <property fmtid="{D5CDD505-2E9C-101B-9397-08002B2CF9AE}" pid="9" name="MSIP_Label_defa4170-0d19-0005-0004-bc88714345d2_ActionId">
    <vt:lpwstr>2600a7df-34f3-4b52-bba5-78f39d19cdd3</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